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trlProps/ctrlProp3.xml" ContentType="application/vnd.ms-excel.controlproperties+xml"/>
  <Override PartName="/xl/chartsheets/sheet1.xml" ContentType="application/vnd.openxmlformats-officedocument.spreadsheetml.chart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20" yWindow="60" windowWidth="23256" windowHeight="12840" activeTab="2"/>
  </bookViews>
  <sheets>
    <sheet name="1 ThermistorTableConversion" sheetId="1" r:id="rId1"/>
    <sheet name="1 Instructions &amp; example" sheetId="10" r:id="rId2"/>
    <sheet name="2 Thermistor from Beta" sheetId="13" r:id="rId3"/>
    <sheet name="2 Instructions &amp; Example" sheetId="24" r:id="rId4"/>
    <sheet name="3 Thermistor from SteinhartHart" sheetId="12" r:id="rId5"/>
    <sheet name="3 Instructions and examples" sheetId="25" r:id="rId6"/>
    <sheet name="Comparison Chart" sheetId="15" r:id="rId7"/>
    <sheet name="Comparison Chart (2)" sheetId="16" r:id="rId8"/>
  </sheets>
  <calcPr calcId="125725"/>
</workbook>
</file>

<file path=xl/calcChain.xml><?xml version="1.0" encoding="utf-8"?>
<calcChain xmlns="http://schemas.openxmlformats.org/spreadsheetml/2006/main">
  <c r="A109" i="13"/>
  <c r="H109" s="1"/>
  <c r="A108"/>
  <c r="B108" s="1"/>
  <c r="C108" s="1"/>
  <c r="D108" s="1"/>
  <c r="E108" s="1"/>
  <c r="A107"/>
  <c r="H107" s="1"/>
  <c r="A106"/>
  <c r="H106" s="1"/>
  <c r="A105"/>
  <c r="H105" s="1"/>
  <c r="A104"/>
  <c r="H104" s="1"/>
  <c r="A103"/>
  <c r="A102"/>
  <c r="A101"/>
  <c r="H101" s="1"/>
  <c r="A100"/>
  <c r="B100" s="1"/>
  <c r="C100" s="1"/>
  <c r="D100" s="1"/>
  <c r="E100" s="1"/>
  <c r="A99"/>
  <c r="B99" s="1"/>
  <c r="C99" s="1"/>
  <c r="D99" s="1"/>
  <c r="E99" s="1"/>
  <c r="A98"/>
  <c r="B98" s="1"/>
  <c r="C98" s="1"/>
  <c r="D98" s="1"/>
  <c r="E98" s="1"/>
  <c r="A97"/>
  <c r="B97" s="1"/>
  <c r="C97" s="1"/>
  <c r="D97" s="1"/>
  <c r="E97" s="1"/>
  <c r="A96"/>
  <c r="A95"/>
  <c r="A94"/>
  <c r="A93"/>
  <c r="H93" s="1"/>
  <c r="A92"/>
  <c r="H92" s="1"/>
  <c r="A91"/>
  <c r="A90"/>
  <c r="B90" s="1"/>
  <c r="C90" s="1"/>
  <c r="D90" s="1"/>
  <c r="E90" s="1"/>
  <c r="F90" s="1"/>
  <c r="A89"/>
  <c r="B89" s="1"/>
  <c r="C89" s="1"/>
  <c r="D89" s="1"/>
  <c r="E89" s="1"/>
  <c r="A88"/>
  <c r="A87"/>
  <c r="A86"/>
  <c r="A85"/>
  <c r="H85" s="1"/>
  <c r="A84"/>
  <c r="B84" s="1"/>
  <c r="C84" s="1"/>
  <c r="D84" s="1"/>
  <c r="E84" s="1"/>
  <c r="A83"/>
  <c r="B83" s="1"/>
  <c r="C83" s="1"/>
  <c r="D83" s="1"/>
  <c r="E83" s="1"/>
  <c r="A82"/>
  <c r="B82" s="1"/>
  <c r="C82" s="1"/>
  <c r="D82" s="1"/>
  <c r="E82" s="1"/>
  <c r="A81"/>
  <c r="B81" s="1"/>
  <c r="C81" s="1"/>
  <c r="D81" s="1"/>
  <c r="E81" s="1"/>
  <c r="A80"/>
  <c r="A79"/>
  <c r="A78"/>
  <c r="A77"/>
  <c r="H77" s="1"/>
  <c r="A76"/>
  <c r="H76" s="1"/>
  <c r="A75"/>
  <c r="B75" s="1"/>
  <c r="C75" s="1"/>
  <c r="D75" s="1"/>
  <c r="E75" s="1"/>
  <c r="F75" s="1"/>
  <c r="A74"/>
  <c r="B74" s="1"/>
  <c r="C74" s="1"/>
  <c r="D74" s="1"/>
  <c r="E74" s="1"/>
  <c r="A73"/>
  <c r="H73" s="1"/>
  <c r="A72"/>
  <c r="H72" s="1"/>
  <c r="A71"/>
  <c r="A70"/>
  <c r="A69"/>
  <c r="H69" s="1"/>
  <c r="A68"/>
  <c r="A67"/>
  <c r="A66"/>
  <c r="A65"/>
  <c r="A64"/>
  <c r="A63"/>
  <c r="A62"/>
  <c r="A61"/>
  <c r="H61" s="1"/>
  <c r="A60"/>
  <c r="H60" s="1"/>
  <c r="A59"/>
  <c r="A58"/>
  <c r="A57"/>
  <c r="A56"/>
  <c r="A55"/>
  <c r="A54"/>
  <c r="A53"/>
  <c r="A52"/>
  <c r="H52" s="1"/>
  <c r="A51"/>
  <c r="H51" s="1"/>
  <c r="A50"/>
  <c r="H50" s="1"/>
  <c r="A49"/>
  <c r="A48"/>
  <c r="A47"/>
  <c r="A46"/>
  <c r="A45"/>
  <c r="H45" s="1"/>
  <c r="A44"/>
  <c r="H44" s="1"/>
  <c r="A43"/>
  <c r="H43" s="1"/>
  <c r="A42"/>
  <c r="H42" s="1"/>
  <c r="A41"/>
  <c r="H41" s="1"/>
  <c r="A40"/>
  <c r="H40" s="1"/>
  <c r="A39"/>
  <c r="A38"/>
  <c r="A37"/>
  <c r="H37" s="1"/>
  <c r="A36"/>
  <c r="A35"/>
  <c r="A34"/>
  <c r="A33"/>
  <c r="A32"/>
  <c r="A31"/>
  <c r="A30"/>
  <c r="A29"/>
  <c r="H29" s="1"/>
  <c r="A28"/>
  <c r="H28" s="1"/>
  <c r="A27"/>
  <c r="A26"/>
  <c r="A25"/>
  <c r="A24"/>
  <c r="A23"/>
  <c r="A22"/>
  <c r="A21"/>
  <c r="A20"/>
  <c r="H20" s="1"/>
  <c r="A19"/>
  <c r="H19" s="1"/>
  <c r="A18"/>
  <c r="H18" s="1"/>
  <c r="A17"/>
  <c r="A16"/>
  <c r="A15"/>
  <c r="A14"/>
  <c r="A13"/>
  <c r="H13" s="1"/>
  <c r="A12"/>
  <c r="H12" s="1"/>
  <c r="A11"/>
  <c r="H11" s="1"/>
  <c r="A10"/>
  <c r="H10" s="1"/>
  <c r="A9"/>
  <c r="H9" s="1"/>
  <c r="B107"/>
  <c r="C107" s="1"/>
  <c r="D107" s="1"/>
  <c r="E107" s="1"/>
  <c r="B106"/>
  <c r="C106" s="1"/>
  <c r="D106" s="1"/>
  <c r="E106" s="1"/>
  <c r="H102"/>
  <c r="H94"/>
  <c r="B91"/>
  <c r="C91" s="1"/>
  <c r="D91" s="1"/>
  <c r="E91" s="1"/>
  <c r="H86"/>
  <c r="H78"/>
  <c r="B73"/>
  <c r="C73" s="1"/>
  <c r="D73" s="1"/>
  <c r="E73" s="1"/>
  <c r="H70"/>
  <c r="H62"/>
  <c r="H54"/>
  <c r="H53"/>
  <c r="H46"/>
  <c r="H38"/>
  <c r="H30"/>
  <c r="H22"/>
  <c r="H21"/>
  <c r="H14"/>
  <c r="H103"/>
  <c r="H100"/>
  <c r="H99"/>
  <c r="H98"/>
  <c r="H97"/>
  <c r="H96"/>
  <c r="H95"/>
  <c r="H91"/>
  <c r="H90"/>
  <c r="H89"/>
  <c r="H88"/>
  <c r="H87"/>
  <c r="H81"/>
  <c r="H80"/>
  <c r="H79"/>
  <c r="H71"/>
  <c r="H68"/>
  <c r="H67"/>
  <c r="H66"/>
  <c r="H65"/>
  <c r="H64"/>
  <c r="H63"/>
  <c r="H59"/>
  <c r="H58"/>
  <c r="H57"/>
  <c r="H56"/>
  <c r="H55"/>
  <c r="H49"/>
  <c r="H48"/>
  <c r="H47"/>
  <c r="H39"/>
  <c r="H36"/>
  <c r="H35"/>
  <c r="H34"/>
  <c r="H33"/>
  <c r="H32"/>
  <c r="H31"/>
  <c r="H27"/>
  <c r="H26"/>
  <c r="H25"/>
  <c r="H24"/>
  <c r="H23"/>
  <c r="H17"/>
  <c r="H16"/>
  <c r="H15"/>
  <c r="H8"/>
  <c r="G80"/>
  <c r="B94"/>
  <c r="C94" s="1"/>
  <c r="D94" s="1"/>
  <c r="E94" s="1"/>
  <c r="F94" s="1"/>
  <c r="B105"/>
  <c r="C105" s="1"/>
  <c r="D105" s="1"/>
  <c r="E105" s="1"/>
  <c r="D104"/>
  <c r="E104" s="1"/>
  <c r="F104" s="1"/>
  <c r="C104"/>
  <c r="B104"/>
  <c r="E103"/>
  <c r="F103" s="1"/>
  <c r="D103"/>
  <c r="C103"/>
  <c r="B103"/>
  <c r="B102"/>
  <c r="C102" s="1"/>
  <c r="D102" s="1"/>
  <c r="E102" s="1"/>
  <c r="F102" s="1"/>
  <c r="D96"/>
  <c r="E96" s="1"/>
  <c r="F96" s="1"/>
  <c r="C96"/>
  <c r="B96"/>
  <c r="C95"/>
  <c r="D95" s="1"/>
  <c r="E95" s="1"/>
  <c r="F95" s="1"/>
  <c r="B95"/>
  <c r="C88"/>
  <c r="D88" s="1"/>
  <c r="E88" s="1"/>
  <c r="F88" s="1"/>
  <c r="B88"/>
  <c r="B87"/>
  <c r="C87" s="1"/>
  <c r="D87" s="1"/>
  <c r="E87" s="1"/>
  <c r="B80"/>
  <c r="C80" s="1"/>
  <c r="D80" s="1"/>
  <c r="E80" s="1"/>
  <c r="F80" s="1"/>
  <c r="B79"/>
  <c r="C79" s="1"/>
  <c r="D79" s="1"/>
  <c r="E79" s="1"/>
  <c r="C76"/>
  <c r="D76" s="1"/>
  <c r="E76" s="1"/>
  <c r="F76" s="1"/>
  <c r="B76"/>
  <c r="C72"/>
  <c r="D72" s="1"/>
  <c r="E72" s="1"/>
  <c r="B72"/>
  <c r="E71"/>
  <c r="F71" s="1"/>
  <c r="D71"/>
  <c r="C71"/>
  <c r="B71"/>
  <c r="H10" i="12"/>
  <c r="G10"/>
  <c r="F12"/>
  <c r="F11"/>
  <c r="F10"/>
  <c r="G70"/>
  <c r="H70" s="1"/>
  <c r="F70"/>
  <c r="F69"/>
  <c r="G69" s="1"/>
  <c r="H69" s="1"/>
  <c r="G68"/>
  <c r="H68" s="1"/>
  <c r="F68"/>
  <c r="F67"/>
  <c r="G67" s="1"/>
  <c r="H67" s="1"/>
  <c r="G66"/>
  <c r="H66" s="1"/>
  <c r="F66"/>
  <c r="F65"/>
  <c r="G65" s="1"/>
  <c r="H65" s="1"/>
  <c r="G64"/>
  <c r="H64" s="1"/>
  <c r="F64"/>
  <c r="F63"/>
  <c r="G63" s="1"/>
  <c r="H63" s="1"/>
  <c r="G62"/>
  <c r="H62" s="1"/>
  <c r="F62"/>
  <c r="F61"/>
  <c r="G61" s="1"/>
  <c r="H61" s="1"/>
  <c r="G60"/>
  <c r="H60" s="1"/>
  <c r="F60"/>
  <c r="F59"/>
  <c r="G59" s="1"/>
  <c r="H59" s="1"/>
  <c r="G58"/>
  <c r="H58" s="1"/>
  <c r="F58"/>
  <c r="F57"/>
  <c r="G57" s="1"/>
  <c r="H57" s="1"/>
  <c r="G56"/>
  <c r="H56" s="1"/>
  <c r="F56"/>
  <c r="F55"/>
  <c r="G55" s="1"/>
  <c r="H55" s="1"/>
  <c r="G54"/>
  <c r="H54" s="1"/>
  <c r="F54"/>
  <c r="F53"/>
  <c r="G53" s="1"/>
  <c r="H53" s="1"/>
  <c r="G52"/>
  <c r="H52" s="1"/>
  <c r="F52"/>
  <c r="F51"/>
  <c r="G51" s="1"/>
  <c r="H51" s="1"/>
  <c r="G50"/>
  <c r="H50" s="1"/>
  <c r="F50"/>
  <c r="F49"/>
  <c r="G49" s="1"/>
  <c r="H49" s="1"/>
  <c r="G48"/>
  <c r="H48" s="1"/>
  <c r="F48"/>
  <c r="F47"/>
  <c r="G47" s="1"/>
  <c r="H47" s="1"/>
  <c r="G46"/>
  <c r="H46" s="1"/>
  <c r="F46"/>
  <c r="F45"/>
  <c r="G45" s="1"/>
  <c r="H45" s="1"/>
  <c r="G44"/>
  <c r="H44" s="1"/>
  <c r="F44"/>
  <c r="F43"/>
  <c r="G43" s="1"/>
  <c r="H43" s="1"/>
  <c r="G42"/>
  <c r="H42" s="1"/>
  <c r="F42"/>
  <c r="F41"/>
  <c r="G41" s="1"/>
  <c r="H41" s="1"/>
  <c r="G40"/>
  <c r="H40" s="1"/>
  <c r="F40"/>
  <c r="F39"/>
  <c r="G39" s="1"/>
  <c r="H39" s="1"/>
  <c r="G38"/>
  <c r="H38" s="1"/>
  <c r="F38"/>
  <c r="F37"/>
  <c r="G37" s="1"/>
  <c r="H37" s="1"/>
  <c r="G36"/>
  <c r="H36" s="1"/>
  <c r="F36"/>
  <c r="F35"/>
  <c r="G35" s="1"/>
  <c r="H35" s="1"/>
  <c r="G34"/>
  <c r="H34" s="1"/>
  <c r="F34"/>
  <c r="F33"/>
  <c r="G33" s="1"/>
  <c r="H33" s="1"/>
  <c r="G32"/>
  <c r="H32" s="1"/>
  <c r="F32"/>
  <c r="F31"/>
  <c r="G31" s="1"/>
  <c r="H31" s="1"/>
  <c r="G30"/>
  <c r="H30" s="1"/>
  <c r="F30"/>
  <c r="F29"/>
  <c r="G29" s="1"/>
  <c r="H29" s="1"/>
  <c r="G28"/>
  <c r="H28" s="1"/>
  <c r="F28"/>
  <c r="F27"/>
  <c r="G27" s="1"/>
  <c r="H27" s="1"/>
  <c r="G26"/>
  <c r="H26" s="1"/>
  <c r="F26"/>
  <c r="F25"/>
  <c r="G25" s="1"/>
  <c r="H25" s="1"/>
  <c r="G24"/>
  <c r="H24" s="1"/>
  <c r="F24"/>
  <c r="F23"/>
  <c r="G23" s="1"/>
  <c r="H23" s="1"/>
  <c r="G22"/>
  <c r="H22" s="1"/>
  <c r="F22"/>
  <c r="F21"/>
  <c r="G21" s="1"/>
  <c r="H21" s="1"/>
  <c r="G20"/>
  <c r="H20" s="1"/>
  <c r="F20"/>
  <c r="F19"/>
  <c r="G19" s="1"/>
  <c r="H19" s="1"/>
  <c r="G18"/>
  <c r="H18" s="1"/>
  <c r="F18"/>
  <c r="F17"/>
  <c r="G17" s="1"/>
  <c r="H17" s="1"/>
  <c r="G16"/>
  <c r="H16" s="1"/>
  <c r="F16"/>
  <c r="F15"/>
  <c r="G15" s="1"/>
  <c r="H15" s="1"/>
  <c r="G14"/>
  <c r="H14" s="1"/>
  <c r="F14"/>
  <c r="F13"/>
  <c r="G13" s="1"/>
  <c r="H13" s="1"/>
  <c r="G12"/>
  <c r="H12" s="1"/>
  <c r="H11"/>
  <c r="G11"/>
  <c r="K3"/>
  <c r="K2"/>
  <c r="K4"/>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10"/>
  <c r="J4"/>
  <c r="J3"/>
  <c r="J2"/>
  <c r="F89" i="13" l="1"/>
  <c r="G89"/>
  <c r="F74"/>
  <c r="G74"/>
  <c r="H108"/>
  <c r="B92"/>
  <c r="C92" s="1"/>
  <c r="D92" s="1"/>
  <c r="E92" s="1"/>
  <c r="F92" s="1"/>
  <c r="H74"/>
  <c r="H84"/>
  <c r="H75"/>
  <c r="H83"/>
  <c r="G103"/>
  <c r="H82"/>
  <c r="F108"/>
  <c r="G108"/>
  <c r="F84"/>
  <c r="G84"/>
  <c r="F100"/>
  <c r="G100"/>
  <c r="F79"/>
  <c r="G79"/>
  <c r="F83"/>
  <c r="G83"/>
  <c r="F91"/>
  <c r="G91"/>
  <c r="F99"/>
  <c r="G99"/>
  <c r="F107"/>
  <c r="G107"/>
  <c r="F105"/>
  <c r="G105"/>
  <c r="F82"/>
  <c r="G82"/>
  <c r="F98"/>
  <c r="G98"/>
  <c r="F106"/>
  <c r="G106"/>
  <c r="F73"/>
  <c r="G73"/>
  <c r="F97"/>
  <c r="G97"/>
  <c r="F72"/>
  <c r="G72"/>
  <c r="F87"/>
  <c r="G87"/>
  <c r="F81"/>
  <c r="G81"/>
  <c r="G88"/>
  <c r="G96"/>
  <c r="G104"/>
  <c r="G71"/>
  <c r="G95"/>
  <c r="B109"/>
  <c r="C109" s="1"/>
  <c r="D109" s="1"/>
  <c r="E109" s="1"/>
  <c r="G102"/>
  <c r="G90"/>
  <c r="B69"/>
  <c r="C69" s="1"/>
  <c r="D69" s="1"/>
  <c r="E69" s="1"/>
  <c r="B86"/>
  <c r="C86" s="1"/>
  <c r="D86" s="1"/>
  <c r="E86" s="1"/>
  <c r="B85"/>
  <c r="C85" s="1"/>
  <c r="D85" s="1"/>
  <c r="E85" s="1"/>
  <c r="G94"/>
  <c r="B93"/>
  <c r="C93" s="1"/>
  <c r="D93" s="1"/>
  <c r="E93" s="1"/>
  <c r="B70"/>
  <c r="C70" s="1"/>
  <c r="D70" s="1"/>
  <c r="E70" s="1"/>
  <c r="B78"/>
  <c r="C78" s="1"/>
  <c r="D78" s="1"/>
  <c r="E78" s="1"/>
  <c r="B101"/>
  <c r="C101" s="1"/>
  <c r="D101" s="1"/>
  <c r="E101" s="1"/>
  <c r="G76"/>
  <c r="G92"/>
  <c r="B77"/>
  <c r="C77" s="1"/>
  <c r="D77" s="1"/>
  <c r="E77" s="1"/>
  <c r="G75"/>
  <c r="N6" i="12"/>
  <c r="N3"/>
  <c r="N5"/>
  <c r="N7"/>
  <c r="N2"/>
  <c r="N4"/>
  <c r="B9" i="13"/>
  <c r="B10"/>
  <c r="B11"/>
  <c r="B12"/>
  <c r="B13"/>
  <c r="B14"/>
  <c r="B15"/>
  <c r="B16"/>
  <c r="B17"/>
  <c r="B18"/>
  <c r="B19"/>
  <c r="B20"/>
  <c r="B21"/>
  <c r="B22"/>
  <c r="B23"/>
  <c r="B24"/>
  <c r="B25"/>
  <c r="B26"/>
  <c r="C26" s="1"/>
  <c r="D26" s="1"/>
  <c r="E26" s="1"/>
  <c r="B27"/>
  <c r="B28"/>
  <c r="B29"/>
  <c r="B30"/>
  <c r="B31"/>
  <c r="B32"/>
  <c r="B33"/>
  <c r="B34"/>
  <c r="B35"/>
  <c r="B36"/>
  <c r="B37"/>
  <c r="B38"/>
  <c r="B39"/>
  <c r="B40"/>
  <c r="B41"/>
  <c r="B42"/>
  <c r="C42" s="1"/>
  <c r="D42" s="1"/>
  <c r="E42" s="1"/>
  <c r="B43"/>
  <c r="B44"/>
  <c r="B45"/>
  <c r="B46"/>
  <c r="B47"/>
  <c r="B48"/>
  <c r="B49"/>
  <c r="B50"/>
  <c r="B51"/>
  <c r="B52"/>
  <c r="B53"/>
  <c r="B54"/>
  <c r="B55"/>
  <c r="B56"/>
  <c r="B57"/>
  <c r="B58"/>
  <c r="B59"/>
  <c r="B60"/>
  <c r="B61"/>
  <c r="C61" s="1"/>
  <c r="D61" s="1"/>
  <c r="E61" s="1"/>
  <c r="B62"/>
  <c r="B63"/>
  <c r="B64"/>
  <c r="B65"/>
  <c r="B66"/>
  <c r="B67"/>
  <c r="B68"/>
  <c r="B8"/>
  <c r="D4"/>
  <c r="D2"/>
  <c r="C10" l="1"/>
  <c r="D10" s="1"/>
  <c r="E10" s="1"/>
  <c r="G10" s="1"/>
  <c r="F70"/>
  <c r="G70"/>
  <c r="F101"/>
  <c r="G101"/>
  <c r="F69"/>
  <c r="G69"/>
  <c r="F78"/>
  <c r="G78"/>
  <c r="F77"/>
  <c r="G77"/>
  <c r="F85"/>
  <c r="G85"/>
  <c r="F61"/>
  <c r="G61"/>
  <c r="F26"/>
  <c r="G26"/>
  <c r="F86"/>
  <c r="G86"/>
  <c r="F42"/>
  <c r="G42"/>
  <c r="F93"/>
  <c r="G93"/>
  <c r="F109"/>
  <c r="G109"/>
  <c r="C65"/>
  <c r="D65" s="1"/>
  <c r="E65" s="1"/>
  <c r="C63"/>
  <c r="D63" s="1"/>
  <c r="E63" s="1"/>
  <c r="C60"/>
  <c r="D60" s="1"/>
  <c r="E60" s="1"/>
  <c r="C46"/>
  <c r="D46" s="1"/>
  <c r="E46" s="1"/>
  <c r="C44"/>
  <c r="D44" s="1"/>
  <c r="E44" s="1"/>
  <c r="C41"/>
  <c r="D41" s="1"/>
  <c r="E41" s="1"/>
  <c r="C30"/>
  <c r="D30" s="1"/>
  <c r="E30" s="1"/>
  <c r="C28"/>
  <c r="D28" s="1"/>
  <c r="E28" s="1"/>
  <c r="C25"/>
  <c r="D25" s="1"/>
  <c r="E25" s="1"/>
  <c r="C68"/>
  <c r="D68" s="1"/>
  <c r="E68" s="1"/>
  <c r="C57"/>
  <c r="D57" s="1"/>
  <c r="E57" s="1"/>
  <c r="C55"/>
  <c r="D55" s="1"/>
  <c r="E55" s="1"/>
  <c r="C53"/>
  <c r="D53" s="1"/>
  <c r="E53" s="1"/>
  <c r="C52"/>
  <c r="D52" s="1"/>
  <c r="E52" s="1"/>
  <c r="C50"/>
  <c r="D50" s="1"/>
  <c r="E50" s="1"/>
  <c r="C49"/>
  <c r="D49" s="1"/>
  <c r="E49" s="1"/>
  <c r="C38"/>
  <c r="D38" s="1"/>
  <c r="E38" s="1"/>
  <c r="C36"/>
  <c r="D36" s="1"/>
  <c r="E36" s="1"/>
  <c r="C34"/>
  <c r="D34" s="1"/>
  <c r="E34" s="1"/>
  <c r="C33"/>
  <c r="D33" s="1"/>
  <c r="E33" s="1"/>
  <c r="C22"/>
  <c r="D22" s="1"/>
  <c r="E22" s="1"/>
  <c r="C20"/>
  <c r="D20" s="1"/>
  <c r="E20" s="1"/>
  <c r="C18"/>
  <c r="D18" s="1"/>
  <c r="E18" s="1"/>
  <c r="Q2" i="12"/>
  <c r="C67" i="13"/>
  <c r="D67" s="1"/>
  <c r="E67" s="1"/>
  <c r="C64"/>
  <c r="D64" s="1"/>
  <c r="E64" s="1"/>
  <c r="C59"/>
  <c r="D59" s="1"/>
  <c r="E59" s="1"/>
  <c r="C56"/>
  <c r="D56" s="1"/>
  <c r="E56" s="1"/>
  <c r="C48"/>
  <c r="D48" s="1"/>
  <c r="E48" s="1"/>
  <c r="C45"/>
  <c r="D45" s="1"/>
  <c r="E45" s="1"/>
  <c r="C40"/>
  <c r="D40" s="1"/>
  <c r="E40" s="1"/>
  <c r="C37"/>
  <c r="D37" s="1"/>
  <c r="E37" s="1"/>
  <c r="C32"/>
  <c r="D32" s="1"/>
  <c r="E32" s="1"/>
  <c r="C29"/>
  <c r="D29" s="1"/>
  <c r="E29" s="1"/>
  <c r="C24"/>
  <c r="D24" s="1"/>
  <c r="E24" s="1"/>
  <c r="C21"/>
  <c r="D21" s="1"/>
  <c r="E21" s="1"/>
  <c r="C16"/>
  <c r="D16" s="1"/>
  <c r="E16" s="1"/>
  <c r="C12"/>
  <c r="D12" s="1"/>
  <c r="E12" s="1"/>
  <c r="C8"/>
  <c r="D8" s="1"/>
  <c r="E8" s="1"/>
  <c r="C66"/>
  <c r="D66" s="1"/>
  <c r="E66" s="1"/>
  <c r="C62"/>
  <c r="D62" s="1"/>
  <c r="E62" s="1"/>
  <c r="C58"/>
  <c r="D58" s="1"/>
  <c r="E58" s="1"/>
  <c r="C54"/>
  <c r="D54" s="1"/>
  <c r="E54" s="1"/>
  <c r="C51"/>
  <c r="D51" s="1"/>
  <c r="E51" s="1"/>
  <c r="C47"/>
  <c r="D47" s="1"/>
  <c r="E47" s="1"/>
  <c r="C43"/>
  <c r="D43" s="1"/>
  <c r="E43" s="1"/>
  <c r="C39"/>
  <c r="D39" s="1"/>
  <c r="E39" s="1"/>
  <c r="C35"/>
  <c r="D35" s="1"/>
  <c r="E35" s="1"/>
  <c r="C31"/>
  <c r="D31" s="1"/>
  <c r="E31" s="1"/>
  <c r="C27"/>
  <c r="D27" s="1"/>
  <c r="E27" s="1"/>
  <c r="C23"/>
  <c r="D23" s="1"/>
  <c r="E23" s="1"/>
  <c r="C19"/>
  <c r="D19" s="1"/>
  <c r="E19" s="1"/>
  <c r="C15"/>
  <c r="D15" s="1"/>
  <c r="E15" s="1"/>
  <c r="C11"/>
  <c r="D11" s="1"/>
  <c r="E11" s="1"/>
  <c r="C17"/>
  <c r="D17" s="1"/>
  <c r="E17" s="1"/>
  <c r="C14"/>
  <c r="D14" s="1"/>
  <c r="E14" s="1"/>
  <c r="C13"/>
  <c r="D13" s="1"/>
  <c r="E13" s="1"/>
  <c r="C9"/>
  <c r="D9" s="1"/>
  <c r="E9" s="1"/>
  <c r="B9" i="1"/>
  <c r="C9" s="1"/>
  <c r="D9" s="1"/>
  <c r="E9" s="1"/>
  <c r="B10"/>
  <c r="C10" s="1"/>
  <c r="D10" s="1"/>
  <c r="E10" s="1"/>
  <c r="B11"/>
  <c r="C11" s="1"/>
  <c r="D11" s="1"/>
  <c r="E11" s="1"/>
  <c r="B12"/>
  <c r="C12" s="1"/>
  <c r="D12" s="1"/>
  <c r="E12" s="1"/>
  <c r="B13"/>
  <c r="C13" s="1"/>
  <c r="D13" s="1"/>
  <c r="E13" s="1"/>
  <c r="B14"/>
  <c r="C14" s="1"/>
  <c r="D14" s="1"/>
  <c r="E14" s="1"/>
  <c r="B15"/>
  <c r="B16"/>
  <c r="C16" s="1"/>
  <c r="D16" s="1"/>
  <c r="E16" s="1"/>
  <c r="B17"/>
  <c r="C17" s="1"/>
  <c r="D17" s="1"/>
  <c r="E17" s="1"/>
  <c r="B18"/>
  <c r="C18" s="1"/>
  <c r="D18" s="1"/>
  <c r="E18" s="1"/>
  <c r="B19"/>
  <c r="C19" s="1"/>
  <c r="D19" s="1"/>
  <c r="E19" s="1"/>
  <c r="B20"/>
  <c r="C20" s="1"/>
  <c r="D20" s="1"/>
  <c r="E20" s="1"/>
  <c r="B21"/>
  <c r="C21" s="1"/>
  <c r="D21" s="1"/>
  <c r="E21" s="1"/>
  <c r="B22"/>
  <c r="C22" s="1"/>
  <c r="D22" s="1"/>
  <c r="E22" s="1"/>
  <c r="B23"/>
  <c r="B24"/>
  <c r="C24" s="1"/>
  <c r="D24" s="1"/>
  <c r="E24" s="1"/>
  <c r="B25"/>
  <c r="C25" s="1"/>
  <c r="D25" s="1"/>
  <c r="E25" s="1"/>
  <c r="B26"/>
  <c r="C26" s="1"/>
  <c r="D26" s="1"/>
  <c r="E26" s="1"/>
  <c r="B27"/>
  <c r="C27" s="1"/>
  <c r="D27" s="1"/>
  <c r="E27" s="1"/>
  <c r="B28"/>
  <c r="C28" s="1"/>
  <c r="D28" s="1"/>
  <c r="E28" s="1"/>
  <c r="B29"/>
  <c r="C29" s="1"/>
  <c r="D29" s="1"/>
  <c r="E29" s="1"/>
  <c r="B30"/>
  <c r="C30" s="1"/>
  <c r="D30" s="1"/>
  <c r="E30" s="1"/>
  <c r="B31"/>
  <c r="C31" s="1"/>
  <c r="D31" s="1"/>
  <c r="E31" s="1"/>
  <c r="B32"/>
  <c r="C32" s="1"/>
  <c r="D32" s="1"/>
  <c r="E32" s="1"/>
  <c r="B33"/>
  <c r="C33" s="1"/>
  <c r="D33" s="1"/>
  <c r="E33" s="1"/>
  <c r="B34"/>
  <c r="C34" s="1"/>
  <c r="D34" s="1"/>
  <c r="E34" s="1"/>
  <c r="B35"/>
  <c r="C35" s="1"/>
  <c r="D35" s="1"/>
  <c r="E35" s="1"/>
  <c r="B36"/>
  <c r="C36" s="1"/>
  <c r="D36" s="1"/>
  <c r="E36" s="1"/>
  <c r="B37"/>
  <c r="C37" s="1"/>
  <c r="D37" s="1"/>
  <c r="E37" s="1"/>
  <c r="B38"/>
  <c r="C38" s="1"/>
  <c r="D38" s="1"/>
  <c r="E38" s="1"/>
  <c r="B39"/>
  <c r="C39" s="1"/>
  <c r="D39" s="1"/>
  <c r="E39" s="1"/>
  <c r="B40"/>
  <c r="C40" s="1"/>
  <c r="D40" s="1"/>
  <c r="E40" s="1"/>
  <c r="B41"/>
  <c r="C41" s="1"/>
  <c r="D41" s="1"/>
  <c r="E41" s="1"/>
  <c r="B42"/>
  <c r="C42" s="1"/>
  <c r="D42" s="1"/>
  <c r="E42" s="1"/>
  <c r="B43"/>
  <c r="C43" s="1"/>
  <c r="D43" s="1"/>
  <c r="E43" s="1"/>
  <c r="B44"/>
  <c r="C44" s="1"/>
  <c r="D44" s="1"/>
  <c r="E44" s="1"/>
  <c r="B45"/>
  <c r="C45" s="1"/>
  <c r="D45" s="1"/>
  <c r="E45" s="1"/>
  <c r="B46"/>
  <c r="C46" s="1"/>
  <c r="D46" s="1"/>
  <c r="E46" s="1"/>
  <c r="B47"/>
  <c r="C47" s="1"/>
  <c r="D47" s="1"/>
  <c r="E47" s="1"/>
  <c r="B48"/>
  <c r="C48" s="1"/>
  <c r="D48" s="1"/>
  <c r="E48" s="1"/>
  <c r="B49"/>
  <c r="C49" s="1"/>
  <c r="D49" s="1"/>
  <c r="E49" s="1"/>
  <c r="B50"/>
  <c r="C50" s="1"/>
  <c r="D50" s="1"/>
  <c r="E50" s="1"/>
  <c r="B51"/>
  <c r="C51" s="1"/>
  <c r="D51" s="1"/>
  <c r="E51" s="1"/>
  <c r="B52"/>
  <c r="C52" s="1"/>
  <c r="D52" s="1"/>
  <c r="E52" s="1"/>
  <c r="B53"/>
  <c r="C53" s="1"/>
  <c r="D53" s="1"/>
  <c r="E53" s="1"/>
  <c r="B54"/>
  <c r="C54" s="1"/>
  <c r="D54" s="1"/>
  <c r="E54" s="1"/>
  <c r="B55"/>
  <c r="C55" s="1"/>
  <c r="D55" s="1"/>
  <c r="E55" s="1"/>
  <c r="B56"/>
  <c r="C56" s="1"/>
  <c r="D56" s="1"/>
  <c r="E56" s="1"/>
  <c r="B57"/>
  <c r="C57" s="1"/>
  <c r="D57" s="1"/>
  <c r="E57" s="1"/>
  <c r="B58"/>
  <c r="C58" s="1"/>
  <c r="D58" s="1"/>
  <c r="E58" s="1"/>
  <c r="B59"/>
  <c r="C59" s="1"/>
  <c r="D59" s="1"/>
  <c r="E59" s="1"/>
  <c r="B60"/>
  <c r="C60" s="1"/>
  <c r="D60" s="1"/>
  <c r="E60" s="1"/>
  <c r="B61"/>
  <c r="C61" s="1"/>
  <c r="D61" s="1"/>
  <c r="E61" s="1"/>
  <c r="B62"/>
  <c r="C62" s="1"/>
  <c r="D62" s="1"/>
  <c r="E62" s="1"/>
  <c r="B63"/>
  <c r="C63" s="1"/>
  <c r="D63" s="1"/>
  <c r="E63" s="1"/>
  <c r="B64"/>
  <c r="C64" s="1"/>
  <c r="D64" s="1"/>
  <c r="E64" s="1"/>
  <c r="B65"/>
  <c r="C65" s="1"/>
  <c r="D65" s="1"/>
  <c r="E65" s="1"/>
  <c r="B66"/>
  <c r="C66" s="1"/>
  <c r="D66" s="1"/>
  <c r="E66" s="1"/>
  <c r="B67"/>
  <c r="C67" s="1"/>
  <c r="D67" s="1"/>
  <c r="E67" s="1"/>
  <c r="B68"/>
  <c r="C68" s="1"/>
  <c r="D68" s="1"/>
  <c r="E68" s="1"/>
  <c r="B8"/>
  <c r="C8" s="1"/>
  <c r="D8" s="1"/>
  <c r="E8" s="1"/>
  <c r="C15"/>
  <c r="D15" s="1"/>
  <c r="E15" s="1"/>
  <c r="C23"/>
  <c r="D23" s="1"/>
  <c r="E23" s="1"/>
  <c r="F10" i="13" l="1"/>
  <c r="F8"/>
  <c r="G8"/>
  <c r="F48"/>
  <c r="G48"/>
  <c r="F15"/>
  <c r="G15"/>
  <c r="F22"/>
  <c r="G22"/>
  <c r="F41"/>
  <c r="G41"/>
  <c r="F16"/>
  <c r="G16"/>
  <c r="F44"/>
  <c r="G44"/>
  <c r="F43"/>
  <c r="G43"/>
  <c r="F45"/>
  <c r="G45"/>
  <c r="F52"/>
  <c r="G52"/>
  <c r="F17"/>
  <c r="G17"/>
  <c r="F40"/>
  <c r="G40"/>
  <c r="F50"/>
  <c r="G50"/>
  <c r="F14"/>
  <c r="G14"/>
  <c r="F37"/>
  <c r="G37"/>
  <c r="F49"/>
  <c r="G49"/>
  <c r="F13"/>
  <c r="G13"/>
  <c r="F62"/>
  <c r="G62"/>
  <c r="F67"/>
  <c r="G67"/>
  <c r="F25"/>
  <c r="G25"/>
  <c r="F58"/>
  <c r="G58"/>
  <c r="F23"/>
  <c r="G23"/>
  <c r="F47"/>
  <c r="G47"/>
  <c r="F53"/>
  <c r="G53"/>
  <c r="F11"/>
  <c r="G11"/>
  <c r="F12"/>
  <c r="G12"/>
  <c r="F20"/>
  <c r="G20"/>
  <c r="F39"/>
  <c r="G39"/>
  <c r="F18"/>
  <c r="G18"/>
  <c r="F30"/>
  <c r="G30"/>
  <c r="F35"/>
  <c r="G35"/>
  <c r="F66"/>
  <c r="G66"/>
  <c r="F28"/>
  <c r="G28"/>
  <c r="F31"/>
  <c r="G31"/>
  <c r="F32"/>
  <c r="G32"/>
  <c r="F38"/>
  <c r="G38"/>
  <c r="F65"/>
  <c r="G65"/>
  <c r="F27"/>
  <c r="G27"/>
  <c r="F29"/>
  <c r="G29"/>
  <c r="F64"/>
  <c r="G64"/>
  <c r="F36"/>
  <c r="G36"/>
  <c r="F68"/>
  <c r="G68"/>
  <c r="F63"/>
  <c r="G63"/>
  <c r="F54"/>
  <c r="G54"/>
  <c r="F24"/>
  <c r="G24"/>
  <c r="F59"/>
  <c r="G59"/>
  <c r="F34"/>
  <c r="G34"/>
  <c r="F57"/>
  <c r="G57"/>
  <c r="F60"/>
  <c r="G60"/>
  <c r="F19"/>
  <c r="G19"/>
  <c r="F51"/>
  <c r="G51"/>
  <c r="F21"/>
  <c r="G21"/>
  <c r="F56"/>
  <c r="G56"/>
  <c r="F33"/>
  <c r="G33"/>
  <c r="F55"/>
  <c r="G55"/>
  <c r="F46"/>
  <c r="G46"/>
  <c r="F9"/>
  <c r="G9"/>
  <c r="Q3" i="12"/>
  <c r="Q4" l="1"/>
  <c r="C10" s="1"/>
  <c r="D10" s="1"/>
  <c r="C17"/>
  <c r="D17" s="1"/>
  <c r="C21"/>
  <c r="C25"/>
  <c r="D25" s="1"/>
  <c r="C29"/>
  <c r="C33"/>
  <c r="D33" s="1"/>
  <c r="C37"/>
  <c r="D37" s="1"/>
  <c r="C41"/>
  <c r="D41" s="1"/>
  <c r="C45"/>
  <c r="D45" s="1"/>
  <c r="C47"/>
  <c r="D47" s="1"/>
  <c r="C49"/>
  <c r="D49" s="1"/>
  <c r="C51"/>
  <c r="D51" s="1"/>
  <c r="C53"/>
  <c r="D53" s="1"/>
  <c r="C55"/>
  <c r="D55" s="1"/>
  <c r="C57"/>
  <c r="D57" s="1"/>
  <c r="C12"/>
  <c r="D12" s="1"/>
  <c r="C14"/>
  <c r="D14" s="1"/>
  <c r="C16"/>
  <c r="D16" s="1"/>
  <c r="C18"/>
  <c r="D18" s="1"/>
  <c r="C20"/>
  <c r="D20" s="1"/>
  <c r="C22"/>
  <c r="D22" s="1"/>
  <c r="C24"/>
  <c r="D24" s="1"/>
  <c r="C26"/>
  <c r="D26" s="1"/>
  <c r="C28"/>
  <c r="D28" s="1"/>
  <c r="C30"/>
  <c r="D30" s="1"/>
  <c r="C32"/>
  <c r="D32" s="1"/>
  <c r="C34"/>
  <c r="D34" s="1"/>
  <c r="C36"/>
  <c r="D36" s="1"/>
  <c r="C38"/>
  <c r="D38" s="1"/>
  <c r="C40"/>
  <c r="C42"/>
  <c r="D42" s="1"/>
  <c r="C44"/>
  <c r="D44" s="1"/>
  <c r="C46"/>
  <c r="D46" s="1"/>
  <c r="C48"/>
  <c r="D48" s="1"/>
  <c r="C50"/>
  <c r="D50" s="1"/>
  <c r="C52"/>
  <c r="D52" s="1"/>
  <c r="C54"/>
  <c r="D54" s="1"/>
  <c r="C56"/>
  <c r="D56" s="1"/>
  <c r="C58"/>
  <c r="D58" s="1"/>
  <c r="C59"/>
  <c r="D59" s="1"/>
  <c r="C61"/>
  <c r="D61" s="1"/>
  <c r="C63"/>
  <c r="D63" s="1"/>
  <c r="C65"/>
  <c r="D65" s="1"/>
  <c r="C67"/>
  <c r="D67" s="1"/>
  <c r="C69"/>
  <c r="C60"/>
  <c r="D60" s="1"/>
  <c r="C62"/>
  <c r="D62" s="1"/>
  <c r="C64"/>
  <c r="D64" s="1"/>
  <c r="C66"/>
  <c r="D66" s="1"/>
  <c r="C68"/>
  <c r="D68" s="1"/>
  <c r="C70"/>
  <c r="D70" s="1"/>
  <c r="C43" l="1"/>
  <c r="D43" s="1"/>
  <c r="C39"/>
  <c r="D39" s="1"/>
  <c r="C35"/>
  <c r="D35" s="1"/>
  <c r="C31"/>
  <c r="D31" s="1"/>
  <c r="C27"/>
  <c r="D27" s="1"/>
  <c r="C23"/>
  <c r="D23" s="1"/>
  <c r="C19"/>
  <c r="D19" s="1"/>
  <c r="C15"/>
  <c r="D15" s="1"/>
  <c r="C13"/>
  <c r="C11"/>
  <c r="D11" s="1"/>
  <c r="E10"/>
  <c r="E55"/>
  <c r="E23"/>
  <c r="D40"/>
  <c r="E40" s="1"/>
  <c r="D69"/>
  <c r="E69" s="1"/>
  <c r="D29"/>
  <c r="E29" s="1"/>
  <c r="D21"/>
  <c r="E21" s="1"/>
  <c r="D13"/>
  <c r="E13" s="1"/>
  <c r="E64"/>
  <c r="E18"/>
  <c r="E26"/>
  <c r="E34"/>
  <c r="E42"/>
  <c r="E50"/>
  <c r="E58"/>
  <c r="E66"/>
  <c r="E37"/>
  <c r="E45"/>
  <c r="E53"/>
  <c r="E61"/>
  <c r="E67"/>
  <c r="E59"/>
  <c r="E56"/>
  <c r="E48"/>
  <c r="E32"/>
  <c r="E24"/>
  <c r="E16"/>
  <c r="E51"/>
  <c r="E43"/>
  <c r="E35"/>
  <c r="E27"/>
  <c r="E19"/>
  <c r="E11"/>
  <c r="E12"/>
  <c r="E20"/>
  <c r="E28"/>
  <c r="E36"/>
  <c r="E44"/>
  <c r="E52"/>
  <c r="E60"/>
  <c r="E68"/>
  <c r="E15"/>
  <c r="E31"/>
  <c r="E39"/>
  <c r="E47"/>
  <c r="E63"/>
  <c r="E14"/>
  <c r="E22"/>
  <c r="E30"/>
  <c r="E38"/>
  <c r="E46"/>
  <c r="E54"/>
  <c r="E62"/>
  <c r="E70"/>
  <c r="E17"/>
  <c r="E25"/>
  <c r="E33"/>
  <c r="E41"/>
  <c r="E49"/>
  <c r="E57"/>
  <c r="E65"/>
</calcChain>
</file>

<file path=xl/sharedStrings.xml><?xml version="1.0" encoding="utf-8"?>
<sst xmlns="http://schemas.openxmlformats.org/spreadsheetml/2006/main" count="105" uniqueCount="71">
  <si>
    <t>V DC</t>
  </si>
  <si>
    <t>Temp</t>
  </si>
  <si>
    <t>R (kOhm)</t>
  </si>
  <si>
    <t>pullup R:</t>
  </si>
  <si>
    <t>kOhm</t>
  </si>
  <si>
    <t>V_in</t>
  </si>
  <si>
    <t>V</t>
  </si>
  <si>
    <t>oversampler</t>
  </si>
  <si>
    <t>Reading</t>
  </si>
  <si>
    <t>RT/R25</t>
  </si>
  <si>
    <t>T (°C)</t>
  </si>
  <si>
    <t>nickel plated wires</t>
  </si>
  <si>
    <t>R25</t>
  </si>
  <si>
    <t>kOhm (at 25°C)</t>
  </si>
  <si>
    <t>Reading - oversampled</t>
  </si>
  <si>
    <t>scale</t>
  </si>
  <si>
    <t>(precision of voltage measurement)</t>
  </si>
  <si>
    <r>
      <rPr>
        <b/>
        <u/>
        <sz val="11"/>
        <color theme="1"/>
        <rFont val="Calibri"/>
        <family val="2"/>
        <scheme val="minor"/>
      </rPr>
      <t>1.)</t>
    </r>
    <r>
      <rPr>
        <sz val="11"/>
        <color theme="1"/>
        <rFont val="Calibri"/>
        <family val="2"/>
        <scheme val="minor"/>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</si>
  <si>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u/>
        <sz val="11"/>
        <color theme="1"/>
        <rFont val="Calibri"/>
        <family val="2"/>
        <scheme val="minor"/>
      </rPr>
      <t>2.)</t>
    </r>
    <r>
      <rPr>
        <sz val="11"/>
        <color theme="1"/>
        <rFont val="Calibri"/>
        <family val="2"/>
        <scheme val="minor"/>
      </rPr>
      <t xml:space="preserve"> Copy the </t>
    </r>
    <r>
      <rPr>
        <b/>
        <sz val="11"/>
        <color theme="1"/>
        <rFont val="Calibri"/>
        <family val="2"/>
        <scheme val="minor"/>
      </rPr>
      <t>R and T</t>
    </r>
    <r>
      <rPr>
        <sz val="11"/>
        <color theme="1"/>
        <rFont val="Calibri"/>
        <family val="2"/>
        <scheme val="minor"/>
      </rPr>
      <t xml:space="preserve"> values into the main sheet, in the red cells (note: the Alpha [%/k] values aren't required)</t>
    </r>
  </si>
  <si>
    <r>
      <rPr>
        <b/>
        <u/>
        <sz val="11"/>
        <color theme="1"/>
        <rFont val="Calibri"/>
        <family val="2"/>
        <scheme val="minor"/>
      </rPr>
      <t>4.)</t>
    </r>
    <r>
      <rPr>
        <sz val="11"/>
        <color theme="1"/>
        <rFont val="Calibri"/>
        <family val="2"/>
        <scheme val="minor"/>
      </rPr>
      <t xml:space="preserve"> Enter the voltage into the voltage divider, </t>
    </r>
    <r>
      <rPr>
        <b/>
        <sz val="11"/>
        <color theme="1"/>
        <rFont val="Calibri"/>
        <family val="2"/>
        <scheme val="minor"/>
      </rPr>
      <t>Vin</t>
    </r>
    <r>
      <rPr>
        <sz val="11"/>
        <color theme="1"/>
        <rFont val="Calibri"/>
        <family val="2"/>
        <scheme val="minor"/>
      </rPr>
      <t xml:space="preserve"> (typically </t>
    </r>
    <r>
      <rPr>
        <b/>
        <sz val="11"/>
        <color theme="1"/>
        <rFont val="Calibri"/>
        <family val="2"/>
        <scheme val="minor"/>
      </rPr>
      <t>5V</t>
    </r>
    <r>
      <rPr>
        <sz val="11"/>
        <color theme="1"/>
        <rFont val="Calibri"/>
        <family val="2"/>
        <scheme val="minor"/>
      </rPr>
      <t>, as this is standard logic voltage)</t>
    </r>
  </si>
  <si>
    <r>
      <rPr>
        <b/>
        <u/>
        <sz val="11"/>
        <color theme="1"/>
        <rFont val="Calibri"/>
        <family val="2"/>
        <scheme val="minor"/>
      </rPr>
      <t>5.)</t>
    </r>
    <r>
      <rPr>
        <sz val="11"/>
        <color theme="1"/>
        <rFont val="Calibri"/>
        <family val="2"/>
        <scheme val="minor"/>
      </rPr>
      <t xml:space="preserve"> Enter the </t>
    </r>
    <r>
      <rPr>
        <b/>
        <sz val="11"/>
        <color theme="1"/>
        <rFont val="Calibri"/>
        <family val="2"/>
        <scheme val="minor"/>
      </rPr>
      <t>Oversampling</t>
    </r>
    <r>
      <rPr>
        <sz val="11"/>
        <color theme="1"/>
        <rFont val="Calibri"/>
        <family val="2"/>
        <scheme val="minor"/>
      </rPr>
      <t xml:space="preserve"> number. For marlin, this is </t>
    </r>
    <r>
      <rPr>
        <b/>
        <sz val="11"/>
        <color theme="1"/>
        <rFont val="Calibri"/>
        <family val="2"/>
        <scheme val="minor"/>
      </rPr>
      <t>16</t>
    </r>
    <r>
      <rPr>
        <sz val="11"/>
        <color theme="1"/>
        <rFont val="Calibri"/>
        <family val="2"/>
        <scheme val="minor"/>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</si>
  <si>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u/>
        <sz val="11"/>
        <color theme="1"/>
        <rFont val="Calibri"/>
        <family val="2"/>
        <scheme val="minor"/>
      </rPr>
      <t>7.)</t>
    </r>
    <r>
      <rPr>
        <sz val="11"/>
        <color theme="1"/>
        <rFont val="Calibri"/>
        <family val="2"/>
        <scheme val="minor"/>
      </rPr>
      <t xml:space="preserve"> Enter the precision of the voltage measurement </t>
    </r>
    <r>
      <rPr>
        <b/>
        <sz val="11"/>
        <color theme="1"/>
        <rFont val="Calibri"/>
        <family val="2"/>
        <scheme val="minor"/>
      </rPr>
      <t>scale.</t>
    </r>
    <r>
      <rPr>
        <sz val="11"/>
        <color theme="1"/>
        <rFont val="Calibri"/>
        <family val="2"/>
        <scheme val="minor"/>
      </rPr>
      <t xml:space="preserve"> For arduino boards, so for normal reprap applications, this is </t>
    </r>
    <r>
      <rPr>
        <b/>
        <sz val="11"/>
        <color theme="1"/>
        <rFont val="Calibri"/>
        <family val="2"/>
        <scheme val="minor"/>
      </rPr>
      <t>1023</t>
    </r>
    <r>
      <rPr>
        <sz val="11"/>
        <color theme="1"/>
        <rFont val="Calibri"/>
        <family val="2"/>
        <scheme val="minor"/>
      </rPr>
      <t xml:space="preserve"> (i.e. the analogue measurement splits a voltage of 5V into 1024 increments)</t>
    </r>
  </si>
  <si>
    <r>
      <rPr>
        <b/>
        <u/>
        <sz val="11"/>
        <color theme="1"/>
        <rFont val="Calibri"/>
        <family val="2"/>
        <scheme val="minor"/>
      </rPr>
      <t>9.)</t>
    </r>
    <r>
      <rPr>
        <sz val="11"/>
        <color theme="1"/>
        <rFont val="Calibri"/>
        <family val="2"/>
        <scheme val="minor"/>
      </rPr>
      <t xml:space="preserve"> to get a table that you can just copy and paste into your custom Thermistor Table in Marlin, click on the </t>
    </r>
    <r>
      <rPr>
        <b/>
        <sz val="11"/>
        <color theme="1"/>
        <rFont val="Calibri"/>
        <family val="2"/>
        <scheme val="minor"/>
      </rPr>
      <t>"Create Table" button</t>
    </r>
    <r>
      <rPr>
        <sz val="11"/>
        <color theme="1"/>
        <rFont val="Calibri"/>
        <family val="2"/>
        <scheme val="minor"/>
      </rPr>
      <t>. This will just create a new sheet with correctly syntaxed data for the table, running from high temp to low temp (as per marlin standard). You can copy and paste these cells directly into the Marlin code.</t>
    </r>
  </si>
  <si>
    <t xml:space="preserve">From thermistor datasheet: </t>
  </si>
  <si>
    <t>Output Marlin Thermistor Table (note: don't add *OVERSAMPLENR)</t>
  </si>
  <si>
    <r>
      <rPr>
        <b/>
        <u/>
        <sz val="11"/>
        <color theme="1"/>
        <rFont val="Calibri"/>
        <family val="2"/>
        <scheme val="minor"/>
      </rPr>
      <t>8.)</t>
    </r>
    <r>
      <rPr>
        <sz val="11"/>
        <color theme="1"/>
        <rFont val="Calibri"/>
        <family val="2"/>
        <scheme val="minor"/>
      </rPr>
      <t xml:space="preserve"> Once you are happy with all of the values in </t>
    </r>
    <r>
      <rPr>
        <sz val="11"/>
        <color rgb="FFFF0000"/>
        <rFont val="Calibri"/>
        <family val="2"/>
        <scheme val="minor"/>
      </rPr>
      <t>RED BORDERED</t>
    </r>
    <r>
      <rPr>
        <sz val="11"/>
        <color theme="1"/>
        <rFont val="Calibri"/>
        <family val="2"/>
        <scheme val="minor"/>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teh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</si>
  <si>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r>
      <rPr>
        <b/>
        <u/>
        <sz val="11"/>
        <color theme="1"/>
        <rFont val="Calibri"/>
        <family val="2"/>
        <scheme val="minor"/>
      </rPr>
      <t>3.)</t>
    </r>
    <r>
      <rPr>
        <sz val="11"/>
        <color theme="1"/>
        <rFont val="Calibri"/>
        <family val="2"/>
        <scheme val="minor"/>
      </rPr>
      <t xml:space="preserve"> enter the value of your </t>
    </r>
    <r>
      <rPr>
        <b/>
        <sz val="11"/>
        <color theme="1"/>
        <rFont val="Calibri"/>
        <family val="2"/>
        <scheme val="minor"/>
      </rPr>
      <t>pull-up resistor</t>
    </r>
    <r>
      <rPr>
        <sz val="11"/>
        <color theme="1"/>
        <rFont val="Calibri"/>
        <family val="2"/>
        <scheme val="minor"/>
      </rPr>
      <t xml:space="preserve"> (the resistor used in your voltage divider, which allows you to measure the relative resistance of the thermistor). This is typically </t>
    </r>
    <r>
      <rPr>
        <b/>
        <sz val="11"/>
        <color theme="1"/>
        <rFont val="Calibri"/>
        <family val="2"/>
        <scheme val="minor"/>
      </rPr>
      <t>4.7 kOhm</t>
    </r>
    <r>
      <rPr>
        <sz val="11"/>
        <color theme="1"/>
        <rFont val="Calibri"/>
        <family val="2"/>
        <scheme val="minor"/>
      </rPr>
      <t>. Check the design of your control board (RUMBA, RAMPS, etc), or ask the supplier what the value of this Pullup Resistor is.</t>
    </r>
  </si>
  <si>
    <r>
      <rPr>
        <b/>
        <u/>
        <sz val="11"/>
        <color theme="1"/>
        <rFont val="Calibri"/>
        <family val="2"/>
        <scheme val="minor"/>
      </rPr>
      <t>6.)</t>
    </r>
    <r>
      <rPr>
        <sz val="11"/>
        <color theme="1"/>
        <rFont val="Calibri"/>
        <family val="2"/>
        <scheme val="minor"/>
      </rPr>
      <t xml:space="preserve"> Enter the Thermistor resistance at 25°C, </t>
    </r>
    <r>
      <rPr>
        <b/>
        <sz val="11"/>
        <color theme="1"/>
        <rFont val="Calibri"/>
        <family val="2"/>
        <scheme val="minor"/>
      </rPr>
      <t>R25.</t>
    </r>
    <r>
      <rPr>
        <sz val="11"/>
        <color theme="1"/>
        <rFont val="Calibri"/>
        <family val="2"/>
        <scheme val="minor"/>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sz val="11"/>
        <color theme="1"/>
        <rFont val="Calibri"/>
        <family val="2"/>
        <scheme val="minor"/>
      </rPr>
      <t>100kOhm</t>
    </r>
    <r>
      <rPr>
        <sz val="11"/>
        <color theme="1"/>
        <rFont val="Calibri"/>
        <family val="2"/>
        <scheme val="minor"/>
      </rPr>
      <t xml:space="preserve"> thermistors are used for reprap controls. If you're unsure, just measure the resistance of your thermistor at room temperature, and this will give you a pretty good idea of the nominal resistance.</t>
    </r>
  </si>
  <si>
    <r>
      <rPr>
        <b/>
        <sz val="11"/>
        <color theme="1"/>
        <rFont val="Calibri"/>
        <family val="2"/>
        <scheme val="minor"/>
      </rPr>
      <t>10.)</t>
    </r>
    <r>
      <rPr>
        <sz val="11"/>
        <color theme="1"/>
        <rFont val="Calibri"/>
        <family val="2"/>
        <scheme val="minor"/>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</si>
  <si>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T0</t>
  </si>
  <si>
    <t>R0</t>
  </si>
  <si>
    <t>°C</t>
  </si>
  <si>
    <t>B (Beta, B25/100)</t>
  </si>
  <si>
    <t>T_B</t>
  </si>
  <si>
    <t>K</t>
  </si>
  <si>
    <t>T (K)</t>
  </si>
  <si>
    <t>data point #</t>
  </si>
  <si>
    <t>LN R</t>
  </si>
  <si>
    <t>Calculation Values</t>
  </si>
  <si>
    <t>Z</t>
  </si>
  <si>
    <t>Y</t>
  </si>
  <si>
    <t>X</t>
  </si>
  <si>
    <t>W</t>
  </si>
  <si>
    <t>U</t>
  </si>
  <si>
    <t>Steinhart-Hart Equation Coefficients</t>
  </si>
  <si>
    <t>C3</t>
  </si>
  <si>
    <t>C2</t>
  </si>
  <si>
    <t>C1</t>
  </si>
  <si>
    <t>T(°C)</t>
  </si>
  <si>
    <t>T (k)</t>
  </si>
  <si>
    <t>y</t>
  </si>
  <si>
    <t>x</t>
  </si>
  <si>
    <t>R (Ohm)</t>
  </si>
  <si>
    <t>R (Ohms)</t>
  </si>
  <si>
    <t>http://en.wikipedia.org/wiki/Thermistor</t>
  </si>
  <si>
    <t>http://assets.newport.com/webDocuments-EN/images/AN04_Thermistor_Calibration_IX.PDF</t>
  </si>
  <si>
    <t>References:</t>
  </si>
  <si>
    <t>2.) Input the values for R Pullup, Vin, Oversampling number, and scale, as discussed in method 1.</t>
  </si>
  <si>
    <r>
      <t xml:space="preserve">1.) Using the Beta &amp; R25 values supplied by whoever sold you the thermistor (or looking up the datasheets online) complete the calculation inputs (in </t>
    </r>
    <r>
      <rPr>
        <sz val="11"/>
        <color rgb="FFFF0000"/>
        <rFont val="Calibri"/>
        <family val="2"/>
        <scheme val="minor"/>
      </rPr>
      <t>RED BORDERS</t>
    </r>
    <r>
      <rPr>
        <sz val="11"/>
        <color theme="1"/>
        <rFont val="Calibri"/>
        <family val="2"/>
        <scheme val="minor"/>
      </rPr>
      <t>)</t>
    </r>
  </si>
  <si>
    <t>3.) see example below, for my thermistor.</t>
  </si>
  <si>
    <t>NOTE: this method has greater error than using the R/T tables or manual calibrations, but is useful if all you know is the beta value. Note the comments in Method 1, regarding accuracy of your values.</t>
  </si>
  <si>
    <t>1. measure your thermistor resistance at room temperature (take multiple measurements and average the results), and record the temperature of your thermistor using a digital thermometer</t>
  </si>
  <si>
    <t>3.  Raise the temperature of your thermistor to a value above what you expect to print at (being careful not to OVER heat it). Measure temperature and resistance again</t>
  </si>
  <si>
    <t>2. Raise the temperature of your thermistor to a value somewhere just below the temperature that you expect to print at. Measure &amp; record the temperature and resistance</t>
  </si>
  <si>
    <t>4. Input these three pairs of values on the calculation sheet. These will be used to calculate the coefficients for the Steinhart-Hart equation.</t>
  </si>
  <si>
    <t>5. Input the remaining values on the calc sheet (Vin, R pullup, scale, oversampling)</t>
  </si>
  <si>
    <t>4.) click the button to generate the thermistor table for use in marlin</t>
  </si>
  <si>
    <t>NOTE: this method is extremely accurate, if the measurements are taken accurately.</t>
  </si>
  <si>
    <t>6. click the button to generate the new table for use in Marlin</t>
  </si>
  <si>
    <t>B57861S0104F</t>
  </si>
  <si>
    <t>R/T characteristics: 2014</t>
  </si>
</sst>
</file>

<file path=xl/styles.xml><?xml version="1.0" encoding="utf-8"?>
<styleSheet xmlns="http://schemas.openxmlformats.org/spreadsheetml/2006/main">
  <fonts count="8">
    <font>
      <sz val="11"/>
      <color theme="1"/>
      <name val="Calibri"/>
      <family val="2"/>
      <scheme val="minor"/>
    </font>
    <font>
      <u/>
      <sz val="11"/>
      <color theme="1"/>
      <name val="Calibri"/>
      <family val="2"/>
      <scheme val="minor"/>
    </font>
    <font>
      <sz val="11"/>
      <color rgb="FFFF0000"/>
      <name val="Calibri"/>
      <family val="2"/>
      <scheme val="minor"/>
    </font>
    <font>
      <b/>
      <sz val="11"/>
      <color theme="1"/>
      <name val="Calibri"/>
      <family val="2"/>
      <scheme val="minor"/>
    </font>
    <font>
      <b/>
      <u/>
      <sz val="11"/>
      <color theme="1"/>
      <name val="Calibri"/>
      <family val="2"/>
      <scheme val="minor"/>
    </font>
    <font>
      <sz val="11"/>
      <color rgb="FF0070C0"/>
      <name val="Calibri"/>
      <family val="2"/>
      <scheme val="minor"/>
    </font>
    <font>
      <sz val="11"/>
      <color rgb="FFFFC000"/>
      <name val="Calibri"/>
      <family val="2"/>
      <scheme val="minor"/>
    </font>
    <font>
      <sz val="11"/>
      <color rgb="FF000000"/>
      <name val="Calibri"/>
      <family val="2"/>
      <scheme val="minor"/>
    </font>
  </fonts>
  <fills count="2">
    <fill>
      <patternFill patternType="none"/>
    </fill>
    <fill>
      <patternFill patternType="gray125"/>
    </fill>
  </fills>
  <borders count="2">
    <border>
      <left/>
      <right/>
      <top/>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8">
    <xf numFmtId="0" fontId="0" fillId="0" borderId="0" xfId="0"/>
    <xf numFmtId="0" fontId="1" fillId="0" borderId="0" xfId="0" applyFont="1"/>
    <xf numFmtId="0" fontId="0" fillId="0" borderId="1" xfId="0" applyBorder="1"/>
    <xf numFmtId="0" fontId="0" fillId="0" borderId="0" xfId="0" applyAlignment="1">
      <alignment wrapText="1"/>
    </xf>
    <xf numFmtId="0" fontId="5" fillId="0" borderId="0" xfId="0" applyFont="1"/>
    <xf numFmtId="0" fontId="6" fillId="0" borderId="0" xfId="0" applyFont="1"/>
    <xf numFmtId="0" fontId="4" fillId="0" borderId="0" xfId="0" applyFont="1"/>
    <xf numFmtId="1" fontId="0" fillId="0" borderId="0" xfId="0" applyNumberForma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R/T</a:t>
            </a:r>
          </a:p>
        </c:rich>
      </c:tx>
      <c:layout/>
    </c:title>
    <c:plotArea>
      <c:layout/>
      <c:scatterChart>
        <c:scatterStyle val="smoothMarker"/>
        <c:ser>
          <c:idx val="0"/>
          <c:order val="0"/>
          <c:tx>
            <c:strRef>
              <c:f>'1 ThermistorTableConversion'!$B$7</c:f>
              <c:strCache>
                <c:ptCount val="1"/>
                <c:pt idx="0">
                  <c:v>R (kOhm)</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14200</c:v>
                </c:pt>
                <c:pt idx="1">
                  <c:v>9661.5</c:v>
                </c:pt>
                <c:pt idx="2">
                  <c:v>6656.2</c:v>
                </c:pt>
                <c:pt idx="3">
                  <c:v>4640</c:v>
                </c:pt>
                <c:pt idx="4">
                  <c:v>3270.7999999999997</c:v>
                </c:pt>
                <c:pt idx="5">
                  <c:v>2330.1999999999998</c:v>
                </c:pt>
                <c:pt idx="6">
                  <c:v>1677</c:v>
                </c:pt>
                <c:pt idx="7">
                  <c:v>1218.5999999999999</c:v>
                </c:pt>
                <c:pt idx="8">
                  <c:v>893.69999999999993</c:v>
                </c:pt>
                <c:pt idx="9">
                  <c:v>661.25</c:v>
                </c:pt>
                <c:pt idx="10">
                  <c:v>493.41999999999996</c:v>
                </c:pt>
                <c:pt idx="11">
                  <c:v>371.20000000000005</c:v>
                </c:pt>
                <c:pt idx="12">
                  <c:v>281.45</c:v>
                </c:pt>
                <c:pt idx="13">
                  <c:v>215</c:v>
                </c:pt>
                <c:pt idx="14">
                  <c:v>165.44</c:v>
                </c:pt>
                <c:pt idx="15">
                  <c:v>128.19</c:v>
                </c:pt>
                <c:pt idx="16">
                  <c:v>100</c:v>
                </c:pt>
                <c:pt idx="17">
                  <c:v>78.513999999999996</c:v>
                </c:pt>
                <c:pt idx="18">
                  <c:v>62.031000000000006</c:v>
                </c:pt>
                <c:pt idx="19">
                  <c:v>49.303999999999995</c:v>
                </c:pt>
                <c:pt idx="20">
                  <c:v>39.417000000000002</c:v>
                </c:pt>
                <c:pt idx="21">
                  <c:v>31.69</c:v>
                </c:pt>
                <c:pt idx="22">
                  <c:v>25.616</c:v>
                </c:pt>
                <c:pt idx="23">
                  <c:v>20.815000000000001</c:v>
                </c:pt>
                <c:pt idx="24">
                  <c:v>17</c:v>
                </c:pt>
                <c:pt idx="25">
                  <c:v>13.952</c:v>
                </c:pt>
                <c:pt idx="26">
                  <c:v>11.505000000000001</c:v>
                </c:pt>
                <c:pt idx="27">
                  <c:v>9.5302000000000007</c:v>
                </c:pt>
                <c:pt idx="28">
                  <c:v>7.9296000000000006</c:v>
                </c:pt>
                <c:pt idx="29">
                  <c:v>6.6263000000000005</c:v>
                </c:pt>
                <c:pt idx="30">
                  <c:v>5.5600999999999994</c:v>
                </c:pt>
                <c:pt idx="31">
                  <c:v>4.6843000000000004</c:v>
                </c:pt>
                <c:pt idx="32">
                  <c:v>3.9618000000000002</c:v>
                </c:pt>
                <c:pt idx="33">
                  <c:v>3.3633999999999995</c:v>
                </c:pt>
                <c:pt idx="34">
                  <c:v>2.8658000000000001</c:v>
                </c:pt>
                <c:pt idx="35">
                  <c:v>2.4504999999999999</c:v>
                </c:pt>
                <c:pt idx="36">
                  <c:v>2.1025999999999998</c:v>
                </c:pt>
                <c:pt idx="37">
                  <c:v>1.8100999999999998</c:v>
                </c:pt>
                <c:pt idx="38">
                  <c:v>1.5633000000000001</c:v>
                </c:pt>
                <c:pt idx="39">
                  <c:v>1.3544</c:v>
                </c:pt>
                <c:pt idx="40">
                  <c:v>1.1769000000000001</c:v>
                </c:pt>
                <c:pt idx="41">
                  <c:v>1.0258</c:v>
                </c:pt>
                <c:pt idx="42">
                  <c:v>0.89659000000000011</c:v>
                </c:pt>
                <c:pt idx="43">
                  <c:v>0.89659000000000011</c:v>
                </c:pt>
                <c:pt idx="44">
                  <c:v>0.89659000000000011</c:v>
                </c:pt>
                <c:pt idx="45">
                  <c:v>0.89659000000000011</c:v>
                </c:pt>
                <c:pt idx="46">
                  <c:v>0.89659000000000011</c:v>
                </c:pt>
                <c:pt idx="47">
                  <c:v>0.89659000000000011</c:v>
                </c:pt>
                <c:pt idx="48">
                  <c:v>0.89659000000000011</c:v>
                </c:pt>
                <c:pt idx="49">
                  <c:v>0.89659000000000011</c:v>
                </c:pt>
                <c:pt idx="50">
                  <c:v>0.89659000000000011</c:v>
                </c:pt>
                <c:pt idx="51">
                  <c:v>0.89659000000000011</c:v>
                </c:pt>
                <c:pt idx="52">
                  <c:v>0.89659000000000011</c:v>
                </c:pt>
                <c:pt idx="53">
                  <c:v>0.89659000000000011</c:v>
                </c:pt>
                <c:pt idx="54">
                  <c:v>0.89659000000000011</c:v>
                </c:pt>
                <c:pt idx="55">
                  <c:v>0.89659000000000011</c:v>
                </c:pt>
                <c:pt idx="56">
                  <c:v>0.89659000000000011</c:v>
                </c:pt>
                <c:pt idx="57">
                  <c:v>0.89659000000000011</c:v>
                </c:pt>
                <c:pt idx="58">
                  <c:v>0.89659000000000011</c:v>
                </c:pt>
                <c:pt idx="59">
                  <c:v>0.89659000000000011</c:v>
                </c:pt>
                <c:pt idx="60">
                  <c:v>0.89659000000000011</c:v>
                </c:pt>
              </c:numCache>
            </c:numRef>
          </c:yVal>
          <c:smooth val="1"/>
        </c:ser>
        <c:axId val="96232192"/>
        <c:axId val="96234496"/>
      </c:scatterChart>
      <c:valAx>
        <c:axId val="96232192"/>
        <c:scaling>
          <c:orientation val="minMax"/>
        </c:scaling>
        <c:axPos val="b"/>
        <c:title>
          <c:tx>
            <c:rich>
              <a:bodyPr/>
              <a:lstStyle/>
              <a:p>
                <a:pPr>
                  <a:defRPr/>
                </a:pPr>
                <a:r>
                  <a:rPr lang="en-AU"/>
                  <a:t>T (°C)</a:t>
                </a:r>
              </a:p>
            </c:rich>
          </c:tx>
          <c:layout/>
        </c:title>
        <c:numFmt formatCode="General" sourceLinked="1"/>
        <c:majorTickMark val="none"/>
        <c:tickLblPos val="nextTo"/>
        <c:crossAx val="96234496"/>
        <c:crosses val="autoZero"/>
        <c:crossBetween val="midCat"/>
      </c:valAx>
      <c:valAx>
        <c:axId val="96234496"/>
        <c:scaling>
          <c:logBase val="10"/>
          <c:orientation val="minMax"/>
        </c:scaling>
        <c:axPos val="l"/>
        <c:majorGridlines/>
        <c:title>
          <c:tx>
            <c:rich>
              <a:bodyPr/>
              <a:lstStyle/>
              <a:p>
                <a:pPr>
                  <a:defRPr/>
                </a:pPr>
                <a:r>
                  <a:rPr lang="en-AU"/>
                  <a:t>R (Ohms)</a:t>
                </a:r>
              </a:p>
            </c:rich>
          </c:tx>
          <c:layout/>
        </c:title>
        <c:numFmt formatCode="General" sourceLinked="1"/>
        <c:majorTickMark val="none"/>
        <c:tickLblPos val="nextTo"/>
        <c:crossAx val="96232192"/>
        <c:crosses val="autoZero"/>
        <c:crossBetween val="midCat"/>
      </c:valAx>
    </c:plotArea>
    <c:legend>
      <c:legendPos val="r"/>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title>
      <c:layout/>
    </c:title>
    <c:plotArea>
      <c:layout/>
      <c:scatterChart>
        <c:scatterStyle val="smoothMarker"/>
        <c:ser>
          <c:idx val="0"/>
          <c:order val="0"/>
          <c:tx>
            <c:strRef>
              <c:f>'1 ThermistorTableConversion'!$K$7</c:f>
              <c:strCache>
                <c:ptCount val="1"/>
                <c:pt idx="0">
                  <c:v>RT/R25</c:v>
                </c:pt>
              </c:strCache>
            </c:strRef>
          </c:tx>
          <c:xVal>
            <c:numRef>
              <c:f>'1 ThermistorTableConversion'!$J$8:$J$68</c:f>
              <c:numCache>
                <c:formatCode>General</c:formatCode>
                <c:ptCount val="61"/>
                <c:pt idx="0">
                  <c:v>-55</c:v>
                </c:pt>
                <c:pt idx="1">
                  <c:v>-50</c:v>
                </c:pt>
                <c:pt idx="2">
                  <c:v>-45</c:v>
                </c:pt>
                <c:pt idx="3">
                  <c:v>-40</c:v>
                </c:pt>
                <c:pt idx="4">
                  <c:v>-35</c:v>
                </c:pt>
                <c:pt idx="5">
                  <c:v>-30</c:v>
                </c:pt>
                <c:pt idx="6">
                  <c:v>-25</c:v>
                </c:pt>
                <c:pt idx="7">
                  <c:v>-20</c:v>
                </c:pt>
                <c:pt idx="8">
                  <c:v>-15</c:v>
                </c:pt>
                <c:pt idx="9">
                  <c:v>-10</c:v>
                </c:pt>
                <c:pt idx="10">
                  <c:v>-5</c:v>
                </c:pt>
                <c:pt idx="11">
                  <c:v>0</c:v>
                </c:pt>
                <c:pt idx="12">
                  <c:v>5</c:v>
                </c:pt>
                <c:pt idx="13">
                  <c:v>10</c:v>
                </c:pt>
                <c:pt idx="14">
                  <c:v>15</c:v>
                </c:pt>
                <c:pt idx="15">
                  <c:v>20</c:v>
                </c:pt>
                <c:pt idx="16">
                  <c:v>25</c:v>
                </c:pt>
                <c:pt idx="17">
                  <c:v>30</c:v>
                </c:pt>
                <c:pt idx="18">
                  <c:v>35</c:v>
                </c:pt>
                <c:pt idx="19">
                  <c:v>40</c:v>
                </c:pt>
                <c:pt idx="20">
                  <c:v>45</c:v>
                </c:pt>
                <c:pt idx="21">
                  <c:v>50</c:v>
                </c:pt>
                <c:pt idx="22">
                  <c:v>55</c:v>
                </c:pt>
                <c:pt idx="23">
                  <c:v>60</c:v>
                </c:pt>
                <c:pt idx="24">
                  <c:v>65</c:v>
                </c:pt>
                <c:pt idx="25">
                  <c:v>70</c:v>
                </c:pt>
                <c:pt idx="26">
                  <c:v>75</c:v>
                </c:pt>
                <c:pt idx="27">
                  <c:v>80</c:v>
                </c:pt>
                <c:pt idx="28">
                  <c:v>85</c:v>
                </c:pt>
                <c:pt idx="29">
                  <c:v>90</c:v>
                </c:pt>
                <c:pt idx="30">
                  <c:v>95</c:v>
                </c:pt>
                <c:pt idx="31">
                  <c:v>100</c:v>
                </c:pt>
                <c:pt idx="32">
                  <c:v>105</c:v>
                </c:pt>
                <c:pt idx="33">
                  <c:v>110</c:v>
                </c:pt>
                <c:pt idx="34">
                  <c:v>115</c:v>
                </c:pt>
                <c:pt idx="35">
                  <c:v>120</c:v>
                </c:pt>
                <c:pt idx="36">
                  <c:v>125</c:v>
                </c:pt>
                <c:pt idx="37">
                  <c:v>130</c:v>
                </c:pt>
                <c:pt idx="38">
                  <c:v>135</c:v>
                </c:pt>
                <c:pt idx="39">
                  <c:v>140</c:v>
                </c:pt>
                <c:pt idx="40">
                  <c:v>145</c:v>
                </c:pt>
                <c:pt idx="41">
                  <c:v>150</c:v>
                </c:pt>
                <c:pt idx="42">
                  <c:v>155</c:v>
                </c:pt>
                <c:pt idx="43">
                  <c:v>160</c:v>
                </c:pt>
                <c:pt idx="44">
                  <c:v>165</c:v>
                </c:pt>
                <c:pt idx="45">
                  <c:v>170</c:v>
                </c:pt>
                <c:pt idx="46">
                  <c:v>175</c:v>
                </c:pt>
                <c:pt idx="47">
                  <c:v>180</c:v>
                </c:pt>
                <c:pt idx="48">
                  <c:v>185</c:v>
                </c:pt>
                <c:pt idx="49">
                  <c:v>190</c:v>
                </c:pt>
                <c:pt idx="50">
                  <c:v>195</c:v>
                </c:pt>
                <c:pt idx="51">
                  <c:v>200</c:v>
                </c:pt>
                <c:pt idx="52">
                  <c:v>215</c:v>
                </c:pt>
                <c:pt idx="53">
                  <c:v>220</c:v>
                </c:pt>
                <c:pt idx="54">
                  <c:v>225</c:v>
                </c:pt>
                <c:pt idx="55">
                  <c:v>230</c:v>
                </c:pt>
                <c:pt idx="56">
                  <c:v>235</c:v>
                </c:pt>
                <c:pt idx="57">
                  <c:v>240</c:v>
                </c:pt>
                <c:pt idx="58">
                  <c:v>245</c:v>
                </c:pt>
                <c:pt idx="59">
                  <c:v>250</c:v>
                </c:pt>
                <c:pt idx="60">
                  <c:v>255</c:v>
                </c:pt>
              </c:numCache>
            </c:numRef>
          </c:xVal>
          <c:yVal>
            <c:numRef>
              <c:f>'1 ThermistorTableConversion'!$K$8:$K$68</c:f>
              <c:numCache>
                <c:formatCode>General</c:formatCode>
                <c:ptCount val="61"/>
                <c:pt idx="0">
                  <c:v>142</c:v>
                </c:pt>
                <c:pt idx="1">
                  <c:v>96.614999999999995</c:v>
                </c:pt>
                <c:pt idx="2">
                  <c:v>66.561999999999998</c:v>
                </c:pt>
                <c:pt idx="3">
                  <c:v>46.4</c:v>
                </c:pt>
                <c:pt idx="4">
                  <c:v>32.707999999999998</c:v>
                </c:pt>
                <c:pt idx="5">
                  <c:v>23.302</c:v>
                </c:pt>
                <c:pt idx="6">
                  <c:v>16.77</c:v>
                </c:pt>
                <c:pt idx="7">
                  <c:v>12.186</c:v>
                </c:pt>
                <c:pt idx="8">
                  <c:v>8.9369999999999994</c:v>
                </c:pt>
                <c:pt idx="9">
                  <c:v>6.6124999999999998</c:v>
                </c:pt>
                <c:pt idx="10">
                  <c:v>4.9341999999999997</c:v>
                </c:pt>
                <c:pt idx="11">
                  <c:v>3.7120000000000002</c:v>
                </c:pt>
                <c:pt idx="12">
                  <c:v>2.8144999999999998</c:v>
                </c:pt>
                <c:pt idx="13">
                  <c:v>2.15</c:v>
                </c:pt>
                <c:pt idx="14">
                  <c:v>1.6544000000000001</c:v>
                </c:pt>
                <c:pt idx="15">
                  <c:v>1.2819</c:v>
                </c:pt>
                <c:pt idx="16">
                  <c:v>1</c:v>
                </c:pt>
                <c:pt idx="17">
                  <c:v>0.78513999999999995</c:v>
                </c:pt>
                <c:pt idx="18">
                  <c:v>0.62031000000000003</c:v>
                </c:pt>
                <c:pt idx="19">
                  <c:v>0.49303999999999998</c:v>
                </c:pt>
                <c:pt idx="20">
                  <c:v>0.39417000000000002</c:v>
                </c:pt>
                <c:pt idx="21">
                  <c:v>0.31690000000000002</c:v>
                </c:pt>
                <c:pt idx="22">
                  <c:v>0.25616</c:v>
                </c:pt>
                <c:pt idx="23">
                  <c:v>0.20815</c:v>
                </c:pt>
                <c:pt idx="24">
                  <c:v>0.17</c:v>
                </c:pt>
                <c:pt idx="25">
                  <c:v>0.13952000000000001</c:v>
                </c:pt>
                <c:pt idx="26">
                  <c:v>0.11505</c:v>
                </c:pt>
                <c:pt idx="27">
                  <c:v>9.5301999999999998E-2</c:v>
                </c:pt>
                <c:pt idx="28">
                  <c:v>7.9296000000000005E-2</c:v>
                </c:pt>
                <c:pt idx="29">
                  <c:v>6.6263000000000002E-2</c:v>
                </c:pt>
                <c:pt idx="30">
                  <c:v>5.5600999999999998E-2</c:v>
                </c:pt>
                <c:pt idx="31">
                  <c:v>4.6843000000000003E-2</c:v>
                </c:pt>
                <c:pt idx="32">
                  <c:v>3.9618E-2</c:v>
                </c:pt>
                <c:pt idx="33">
                  <c:v>3.3633999999999997E-2</c:v>
                </c:pt>
                <c:pt idx="34">
                  <c:v>2.8657999999999999E-2</c:v>
                </c:pt>
                <c:pt idx="35">
                  <c:v>2.4504999999999999E-2</c:v>
                </c:pt>
                <c:pt idx="36">
                  <c:v>2.1026E-2</c:v>
                </c:pt>
                <c:pt idx="37">
                  <c:v>1.8100999999999999E-2</c:v>
                </c:pt>
                <c:pt idx="38">
                  <c:v>1.5633000000000001E-2</c:v>
                </c:pt>
                <c:pt idx="39">
                  <c:v>1.3544E-2</c:v>
                </c:pt>
                <c:pt idx="40">
                  <c:v>1.1769E-2</c:v>
                </c:pt>
                <c:pt idx="41">
                  <c:v>1.0258E-2</c:v>
                </c:pt>
                <c:pt idx="42">
                  <c:v>8.9659000000000006E-3</c:v>
                </c:pt>
                <c:pt idx="43">
                  <c:v>8.9659000000000006E-3</c:v>
                </c:pt>
                <c:pt idx="44">
                  <c:v>8.9659000000000006E-3</c:v>
                </c:pt>
                <c:pt idx="45">
                  <c:v>8.9659000000000006E-3</c:v>
                </c:pt>
                <c:pt idx="46">
                  <c:v>8.9659000000000006E-3</c:v>
                </c:pt>
                <c:pt idx="47">
                  <c:v>8.9659000000000006E-3</c:v>
                </c:pt>
                <c:pt idx="48">
                  <c:v>8.9659000000000006E-3</c:v>
                </c:pt>
                <c:pt idx="49">
                  <c:v>8.9659000000000006E-3</c:v>
                </c:pt>
                <c:pt idx="50">
                  <c:v>8.9659000000000006E-3</c:v>
                </c:pt>
                <c:pt idx="51">
                  <c:v>8.9659000000000006E-3</c:v>
                </c:pt>
                <c:pt idx="52">
                  <c:v>8.9659000000000006E-3</c:v>
                </c:pt>
                <c:pt idx="53">
                  <c:v>8.9659000000000006E-3</c:v>
                </c:pt>
                <c:pt idx="54">
                  <c:v>8.9659000000000006E-3</c:v>
                </c:pt>
                <c:pt idx="55">
                  <c:v>8.9659000000000006E-3</c:v>
                </c:pt>
                <c:pt idx="56">
                  <c:v>8.9659000000000006E-3</c:v>
                </c:pt>
                <c:pt idx="57">
                  <c:v>8.9659000000000006E-3</c:v>
                </c:pt>
                <c:pt idx="58">
                  <c:v>8.9659000000000006E-3</c:v>
                </c:pt>
                <c:pt idx="59">
                  <c:v>8.9659000000000006E-3</c:v>
                </c:pt>
                <c:pt idx="60">
                  <c:v>8.9659000000000006E-3</c:v>
                </c:pt>
              </c:numCache>
            </c:numRef>
          </c:yVal>
          <c:smooth val="1"/>
        </c:ser>
        <c:axId val="97944320"/>
        <c:axId val="97948032"/>
      </c:scatterChart>
      <c:valAx>
        <c:axId val="97944320"/>
        <c:scaling>
          <c:orientation val="minMax"/>
        </c:scaling>
        <c:axPos val="b"/>
        <c:title>
          <c:tx>
            <c:rich>
              <a:bodyPr/>
              <a:lstStyle/>
              <a:p>
                <a:pPr>
                  <a:defRPr/>
                </a:pPr>
                <a:r>
                  <a:rPr lang="en-AU"/>
                  <a:t>T (°C)</a:t>
                </a:r>
              </a:p>
            </c:rich>
          </c:tx>
          <c:layout/>
        </c:title>
        <c:numFmt formatCode="General" sourceLinked="1"/>
        <c:majorTickMark val="none"/>
        <c:tickLblPos val="nextTo"/>
        <c:crossAx val="97948032"/>
        <c:crosses val="autoZero"/>
        <c:crossBetween val="midCat"/>
      </c:valAx>
      <c:valAx>
        <c:axId val="97948032"/>
        <c:scaling>
          <c:logBase val="10"/>
          <c:orientation val="minMax"/>
        </c:scaling>
        <c:axPos val="l"/>
        <c:majorGridlines/>
        <c:title>
          <c:tx>
            <c:rich>
              <a:bodyPr/>
              <a:lstStyle/>
              <a:p>
                <a:pPr>
                  <a:defRPr/>
                </a:pPr>
                <a:r>
                  <a:rPr lang="en-AU"/>
                  <a:t>RT/R25</a:t>
                </a:r>
              </a:p>
            </c:rich>
          </c:tx>
          <c:layout/>
        </c:title>
        <c:numFmt formatCode="General" sourceLinked="1"/>
        <c:majorTickMark val="none"/>
        <c:tickLblPos val="nextTo"/>
        <c:crossAx val="97944320"/>
        <c:crosses val="autoZero"/>
        <c:crossBetween val="midCat"/>
      </c:valAx>
    </c:plotArea>
    <c:legend>
      <c:legendPos val="r"/>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V/T</a:t>
            </a:r>
          </a:p>
        </c:rich>
      </c:tx>
      <c:layout/>
    </c:title>
    <c:plotArea>
      <c:layout/>
      <c:scatterChart>
        <c:scatterStyle val="smoothMarker"/>
        <c:ser>
          <c:idx val="0"/>
          <c:order val="0"/>
          <c:tx>
            <c:strRef>
              <c:f>'1 ThermistorTableConversion'!$C$7</c:f>
              <c:strCache>
                <c:ptCount val="1"/>
                <c:pt idx="0">
                  <c:v>V DC</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ThermistorTableConversion'!$C$8:$C$68</c:f>
              <c:numCache>
                <c:formatCode>General</c:formatCode>
                <c:ptCount val="61"/>
                <c:pt idx="0">
                  <c:v>4.9983456179996759</c:v>
                </c:pt>
                <c:pt idx="1">
                  <c:v>4.9975688481512899</c:v>
                </c:pt>
                <c:pt idx="2">
                  <c:v>4.9964719482352233</c:v>
                </c:pt>
                <c:pt idx="3">
                  <c:v>4.9949404697827635</c:v>
                </c:pt>
                <c:pt idx="4">
                  <c:v>4.9928255228209437</c:v>
                </c:pt>
                <c:pt idx="5">
                  <c:v>4.9899353291361521</c:v>
                </c:pt>
                <c:pt idx="6">
                  <c:v>4.9860260450734373</c:v>
                </c:pt>
                <c:pt idx="7">
                  <c:v>4.9807896672933873</c:v>
                </c:pt>
                <c:pt idx="8">
                  <c:v>4.9738423864648267</c:v>
                </c:pt>
                <c:pt idx="9">
                  <c:v>4.9647120654703807</c:v>
                </c:pt>
                <c:pt idx="10">
                  <c:v>4.9528226130249742</c:v>
                </c:pt>
                <c:pt idx="11">
                  <c:v>4.9374833732375629</c:v>
                </c:pt>
                <c:pt idx="12">
                  <c:v>4.9178752402586063</c:v>
                </c:pt>
                <c:pt idx="13">
                  <c:v>4.8930359581247158</c:v>
                </c:pt>
                <c:pt idx="14">
                  <c:v>4.8618784530386749</c:v>
                </c:pt>
                <c:pt idx="15">
                  <c:v>4.8231620136955389</c:v>
                </c:pt>
                <c:pt idx="16">
                  <c:v>4.7755491881566376</c:v>
                </c:pt>
                <c:pt idx="17">
                  <c:v>4.7175955968947534</c:v>
                </c:pt>
                <c:pt idx="18">
                  <c:v>4.6478398345596501</c:v>
                </c:pt>
                <c:pt idx="19">
                  <c:v>4.5648470483667873</c:v>
                </c:pt>
                <c:pt idx="20">
                  <c:v>4.4673255207743043</c:v>
                </c:pt>
                <c:pt idx="21">
                  <c:v>4.3542181918109373</c:v>
                </c:pt>
                <c:pt idx="22">
                  <c:v>4.2248317720015827</c:v>
                </c:pt>
                <c:pt idx="23">
                  <c:v>4.0789731530472269</c:v>
                </c:pt>
                <c:pt idx="24">
                  <c:v>3.9170506912442398</c:v>
                </c:pt>
                <c:pt idx="25">
                  <c:v>3.7400814926013295</c:v>
                </c:pt>
                <c:pt idx="26">
                  <c:v>3.5498302992903423</c:v>
                </c:pt>
                <c:pt idx="27">
                  <c:v>3.3485825919523271</c:v>
                </c:pt>
                <c:pt idx="28">
                  <c:v>3.1392918223855073</c:v>
                </c:pt>
                <c:pt idx="29">
                  <c:v>2.925182981203041</c:v>
                </c:pt>
                <c:pt idx="30">
                  <c:v>2.7095739807604211</c:v>
                </c:pt>
                <c:pt idx="31">
                  <c:v>2.4958174823908021</c:v>
                </c:pt>
                <c:pt idx="32">
                  <c:v>2.2869380498279805</c:v>
                </c:pt>
                <c:pt idx="33">
                  <c:v>2.0855966465758859</c:v>
                </c:pt>
                <c:pt idx="34">
                  <c:v>1.8939173649845358</c:v>
                </c:pt>
                <c:pt idx="35">
                  <c:v>1.7135165373050836</c:v>
                </c:pt>
                <c:pt idx="36">
                  <c:v>1.5454385088054565</c:v>
                </c:pt>
                <c:pt idx="37">
                  <c:v>1.3902244205158139</c:v>
                </c:pt>
                <c:pt idx="38">
                  <c:v>1.2479842894320885</c:v>
                </c:pt>
                <c:pt idx="39">
                  <c:v>1.1185253699788584</c:v>
                </c:pt>
                <c:pt idx="40">
                  <c:v>1.0012931987952833</c:v>
                </c:pt>
                <c:pt idx="41">
                  <c:v>0.89577002340284329</c:v>
                </c:pt>
                <c:pt idx="42">
                  <c:v>0.80101454635769298</c:v>
                </c:pt>
                <c:pt idx="43">
                  <c:v>0.80101454635769298</c:v>
                </c:pt>
                <c:pt idx="44">
                  <c:v>0.80101454635769298</c:v>
                </c:pt>
                <c:pt idx="45">
                  <c:v>0.80101454635769298</c:v>
                </c:pt>
                <c:pt idx="46">
                  <c:v>0.80101454635769298</c:v>
                </c:pt>
                <c:pt idx="47">
                  <c:v>0.80101454635769298</c:v>
                </c:pt>
                <c:pt idx="48">
                  <c:v>0.80101454635769298</c:v>
                </c:pt>
                <c:pt idx="49">
                  <c:v>0.80101454635769298</c:v>
                </c:pt>
                <c:pt idx="50">
                  <c:v>0.80101454635769298</c:v>
                </c:pt>
                <c:pt idx="51">
                  <c:v>0.80101454635769298</c:v>
                </c:pt>
                <c:pt idx="52">
                  <c:v>0.80101454635769298</c:v>
                </c:pt>
                <c:pt idx="53">
                  <c:v>0.80101454635769298</c:v>
                </c:pt>
                <c:pt idx="54">
                  <c:v>0.80101454635769298</c:v>
                </c:pt>
                <c:pt idx="55">
                  <c:v>0.80101454635769298</c:v>
                </c:pt>
                <c:pt idx="56">
                  <c:v>0.80101454635769298</c:v>
                </c:pt>
                <c:pt idx="57">
                  <c:v>0.80101454635769298</c:v>
                </c:pt>
                <c:pt idx="58">
                  <c:v>0.80101454635769298</c:v>
                </c:pt>
                <c:pt idx="59">
                  <c:v>0.80101454635769298</c:v>
                </c:pt>
                <c:pt idx="60">
                  <c:v>0.80101454635769298</c:v>
                </c:pt>
              </c:numCache>
            </c:numRef>
          </c:yVal>
          <c:smooth val="1"/>
        </c:ser>
        <c:axId val="98014720"/>
        <c:axId val="98022912"/>
      </c:scatterChart>
      <c:valAx>
        <c:axId val="98014720"/>
        <c:scaling>
          <c:orientation val="minMax"/>
        </c:scaling>
        <c:axPos val="b"/>
        <c:title>
          <c:tx>
            <c:rich>
              <a:bodyPr/>
              <a:lstStyle/>
              <a:p>
                <a:pPr>
                  <a:defRPr/>
                </a:pPr>
                <a:r>
                  <a:rPr lang="en-AU"/>
                  <a:t>T (°C)</a:t>
                </a:r>
              </a:p>
            </c:rich>
          </c:tx>
          <c:layout/>
        </c:title>
        <c:numFmt formatCode="General" sourceLinked="1"/>
        <c:majorTickMark val="none"/>
        <c:tickLblPos val="nextTo"/>
        <c:crossAx val="98022912"/>
        <c:crosses val="autoZero"/>
        <c:crossBetween val="midCat"/>
      </c:valAx>
      <c:valAx>
        <c:axId val="98022912"/>
        <c:scaling>
          <c:orientation val="minMax"/>
        </c:scaling>
        <c:axPos val="l"/>
        <c:majorGridlines/>
        <c:title>
          <c:tx>
            <c:rich>
              <a:bodyPr/>
              <a:lstStyle/>
              <a:p>
                <a:pPr>
                  <a:defRPr/>
                </a:pPr>
                <a:r>
                  <a:rPr lang="en-AU"/>
                  <a:t>V_measured (V)</a:t>
                </a:r>
              </a:p>
            </c:rich>
          </c:tx>
          <c:layout/>
        </c:title>
        <c:numFmt formatCode="General" sourceLinked="1"/>
        <c:majorTickMark val="none"/>
        <c:tickLblPos val="nextTo"/>
        <c:crossAx val="98014720"/>
        <c:crosses val="autoZero"/>
        <c:crossBetween val="midCat"/>
      </c:valAx>
    </c:plotArea>
    <c:legend>
      <c:legendPos val="r"/>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AU"/>
              <a:t>Comparison of Methods</a:t>
            </a:r>
          </a:p>
        </c:rich>
      </c:tx>
    </c:title>
    <c:plotArea>
      <c:layout/>
      <c:scatterChart>
        <c:scatterStyle val="smoothMarker"/>
        <c:ser>
          <c:idx val="0"/>
          <c:order val="0"/>
          <c:tx>
            <c:v>Thermistor Table</c:v>
          </c:tx>
          <c:marker>
            <c:symbol val="none"/>
          </c:marker>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14200</c:v>
                </c:pt>
                <c:pt idx="1">
                  <c:v>9661.5</c:v>
                </c:pt>
                <c:pt idx="2">
                  <c:v>6656.2</c:v>
                </c:pt>
                <c:pt idx="3">
                  <c:v>4640</c:v>
                </c:pt>
                <c:pt idx="4">
                  <c:v>3270.7999999999997</c:v>
                </c:pt>
                <c:pt idx="5">
                  <c:v>2330.1999999999998</c:v>
                </c:pt>
                <c:pt idx="6">
                  <c:v>1677</c:v>
                </c:pt>
                <c:pt idx="7">
                  <c:v>1218.5999999999999</c:v>
                </c:pt>
                <c:pt idx="8">
                  <c:v>893.69999999999993</c:v>
                </c:pt>
                <c:pt idx="9">
                  <c:v>661.25</c:v>
                </c:pt>
                <c:pt idx="10">
                  <c:v>493.41999999999996</c:v>
                </c:pt>
                <c:pt idx="11">
                  <c:v>371.20000000000005</c:v>
                </c:pt>
                <c:pt idx="12">
                  <c:v>281.45</c:v>
                </c:pt>
                <c:pt idx="13">
                  <c:v>215</c:v>
                </c:pt>
                <c:pt idx="14">
                  <c:v>165.44</c:v>
                </c:pt>
                <c:pt idx="15">
                  <c:v>128.19</c:v>
                </c:pt>
                <c:pt idx="16">
                  <c:v>100</c:v>
                </c:pt>
                <c:pt idx="17">
                  <c:v>78.513999999999996</c:v>
                </c:pt>
                <c:pt idx="18">
                  <c:v>62.031000000000006</c:v>
                </c:pt>
                <c:pt idx="19">
                  <c:v>49.303999999999995</c:v>
                </c:pt>
                <c:pt idx="20">
                  <c:v>39.417000000000002</c:v>
                </c:pt>
                <c:pt idx="21">
                  <c:v>31.69</c:v>
                </c:pt>
                <c:pt idx="22">
                  <c:v>25.616</c:v>
                </c:pt>
                <c:pt idx="23">
                  <c:v>20.815000000000001</c:v>
                </c:pt>
                <c:pt idx="24">
                  <c:v>17</c:v>
                </c:pt>
                <c:pt idx="25">
                  <c:v>13.952</c:v>
                </c:pt>
                <c:pt idx="26">
                  <c:v>11.505000000000001</c:v>
                </c:pt>
                <c:pt idx="27">
                  <c:v>9.5302000000000007</c:v>
                </c:pt>
                <c:pt idx="28">
                  <c:v>7.9296000000000006</c:v>
                </c:pt>
                <c:pt idx="29">
                  <c:v>6.6263000000000005</c:v>
                </c:pt>
                <c:pt idx="30">
                  <c:v>5.5600999999999994</c:v>
                </c:pt>
                <c:pt idx="31">
                  <c:v>4.6843000000000004</c:v>
                </c:pt>
                <c:pt idx="32">
                  <c:v>3.9618000000000002</c:v>
                </c:pt>
                <c:pt idx="33">
                  <c:v>3.3633999999999995</c:v>
                </c:pt>
                <c:pt idx="34">
                  <c:v>2.8658000000000001</c:v>
                </c:pt>
                <c:pt idx="35">
                  <c:v>2.4504999999999999</c:v>
                </c:pt>
                <c:pt idx="36">
                  <c:v>2.1025999999999998</c:v>
                </c:pt>
                <c:pt idx="37">
                  <c:v>1.8100999999999998</c:v>
                </c:pt>
                <c:pt idx="38">
                  <c:v>1.5633000000000001</c:v>
                </c:pt>
                <c:pt idx="39">
                  <c:v>1.3544</c:v>
                </c:pt>
                <c:pt idx="40">
                  <c:v>1.1769000000000001</c:v>
                </c:pt>
                <c:pt idx="41">
                  <c:v>1.0258</c:v>
                </c:pt>
                <c:pt idx="42">
                  <c:v>0.89659000000000011</c:v>
                </c:pt>
                <c:pt idx="43">
                  <c:v>0.89659000000000011</c:v>
                </c:pt>
                <c:pt idx="44">
                  <c:v>0.89659000000000011</c:v>
                </c:pt>
                <c:pt idx="45">
                  <c:v>0.89659000000000011</c:v>
                </c:pt>
                <c:pt idx="46">
                  <c:v>0.89659000000000011</c:v>
                </c:pt>
                <c:pt idx="47">
                  <c:v>0.89659000000000011</c:v>
                </c:pt>
                <c:pt idx="48">
                  <c:v>0.89659000000000011</c:v>
                </c:pt>
                <c:pt idx="49">
                  <c:v>0.89659000000000011</c:v>
                </c:pt>
                <c:pt idx="50">
                  <c:v>0.89659000000000011</c:v>
                </c:pt>
                <c:pt idx="51">
                  <c:v>0.89659000000000011</c:v>
                </c:pt>
                <c:pt idx="52">
                  <c:v>0.89659000000000011</c:v>
                </c:pt>
                <c:pt idx="53">
                  <c:v>0.89659000000000011</c:v>
                </c:pt>
                <c:pt idx="54">
                  <c:v>0.89659000000000011</c:v>
                </c:pt>
                <c:pt idx="55">
                  <c:v>0.89659000000000011</c:v>
                </c:pt>
                <c:pt idx="56">
                  <c:v>0.89659000000000011</c:v>
                </c:pt>
                <c:pt idx="57">
                  <c:v>0.89659000000000011</c:v>
                </c:pt>
                <c:pt idx="58">
                  <c:v>0.89659000000000011</c:v>
                </c:pt>
                <c:pt idx="59">
                  <c:v>0.89659000000000011</c:v>
                </c:pt>
                <c:pt idx="60">
                  <c:v>0.89659000000000011</c:v>
                </c:pt>
              </c:numCache>
            </c:numRef>
          </c:yVal>
          <c:smooth val="1"/>
        </c:ser>
        <c:ser>
          <c:idx val="1"/>
          <c:order val="1"/>
          <c:tx>
            <c:v>Steinhart-Hart</c:v>
          </c:tx>
          <c:marker>
            <c:symbol val="none"/>
          </c:marker>
          <c:x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'3 Thermistor from SteinhartHart'!$E$10:$E$70</c:f>
              <c:numCache>
                <c:formatCode>General</c:formatCode>
                <c:ptCount val="61"/>
                <c:pt idx="0">
                  <c:v>307.58714114316274</c:v>
                </c:pt>
                <c:pt idx="1">
                  <c:v>243.39349551719661</c:v>
                </c:pt>
                <c:pt idx="2">
                  <c:v>193.51515302672064</c:v>
                </c:pt>
                <c:pt idx="3">
                  <c:v>154.57990181492349</c:v>
                </c:pt>
                <c:pt idx="4">
                  <c:v>124.04849371419556</c:v>
                </c:pt>
                <c:pt idx="5">
                  <c:v>100.00000000000023</c:v>
                </c:pt>
                <c:pt idx="6">
                  <c:v>80.97465674689542</c:v>
                </c:pt>
                <c:pt idx="7">
                  <c:v>65.85824019503869</c:v>
                </c:pt>
                <c:pt idx="8">
                  <c:v>53.796594556647754</c:v>
                </c:pt>
                <c:pt idx="9">
                  <c:v>44.132158703152072</c:v>
                </c:pt>
                <c:pt idx="10">
                  <c:v>36.356619011908293</c:v>
                </c:pt>
                <c:pt idx="11">
                  <c:v>30.075437724878295</c:v>
                </c:pt>
                <c:pt idx="12">
                  <c:v>24.98116561388396</c:v>
                </c:pt>
                <c:pt idx="13">
                  <c:v>20.83328058197959</c:v>
                </c:pt>
                <c:pt idx="14">
                  <c:v>17.442894911246515</c:v>
                </c:pt>
                <c:pt idx="15">
                  <c:v>14.661109687763208</c:v>
                </c:pt>
                <c:pt idx="16">
                  <c:v>12.370112346678011</c:v>
                </c:pt>
                <c:pt idx="17">
                  <c:v>10.476345460252929</c:v>
                </c:pt>
                <c:pt idx="18">
                  <c:v>8.9052454442202311</c:v>
                </c:pt>
                <c:pt idx="19">
                  <c:v>7.5971756558171641</c:v>
                </c:pt>
                <c:pt idx="20">
                  <c:v>6.5042715159363089</c:v>
                </c:pt>
                <c:pt idx="21">
                  <c:v>5.5879845455137325</c:v>
                </c:pt>
                <c:pt idx="22">
                  <c:v>4.8171638908203125</c:v>
                </c:pt>
                <c:pt idx="23">
                  <c:v>4.1665526259767702</c:v>
                </c:pt>
                <c:pt idx="24">
                  <c:v>3.615605224284435</c:v>
                </c:pt>
                <c:pt idx="25">
                  <c:v>3.1475545462369756</c:v>
                </c:pt>
                <c:pt idx="26">
                  <c:v>2.7486733140448525</c:v>
                </c:pt>
                <c:pt idx="27">
                  <c:v>2.407687668976028</c:v>
                </c:pt>
                <c:pt idx="28">
                  <c:v>2.115310031218554</c:v>
                </c:pt>
                <c:pt idx="29">
                  <c:v>1.8638658405662394</c:v>
                </c:pt>
                <c:pt idx="30">
                  <c:v>1.6469944011096846</c:v>
                </c:pt>
                <c:pt idx="31">
                  <c:v>1.4594083970564509</c:v>
                </c:pt>
                <c:pt idx="32">
                  <c:v>1.2966999999999962</c:v>
                </c:pt>
                <c:pt idx="33">
                  <c:v>1.1551840842751822</c:v>
                </c:pt>
                <c:pt idx="34">
                  <c:v>1.0317710833570697</c:v>
                </c:pt>
                <c:pt idx="35">
                  <c:v>0.92386359078067604</c:v>
                </c:pt>
                <c:pt idx="36">
                  <c:v>0.82927203590801868</c:v>
                </c:pt>
                <c:pt idx="37">
                  <c:v>0.74614572600155726</c:v>
                </c:pt>
                <c:pt idx="38">
                  <c:v>0.67291630116029011</c:v>
                </c:pt>
                <c:pt idx="39">
                  <c:v>0.60825124355793303</c:v>
                </c:pt>
                <c:pt idx="40">
                  <c:v>0.55101555237506017</c:v>
                </c:pt>
                <c:pt idx="41">
                  <c:v>0.50024006808256871</c:v>
                </c:pt>
                <c:pt idx="42">
                  <c:v>0.45509522540745828</c:v>
                </c:pt>
                <c:pt idx="43">
                  <c:v>0.41486924977255363</c:v>
                </c:pt>
                <c:pt idx="44">
                  <c:v>0.37894999999999973</c:v>
                </c:pt>
                <c:pt idx="45">
                  <c:v>0.34680981055765114</c:v>
                </c:pt>
                <c:pt idx="46">
                  <c:v>0.31799280739708957</c:v>
                </c:pt>
                <c:pt idx="47">
                  <c:v>0.29210426859402561</c:v>
                </c:pt>
                <c:pt idx="48">
                  <c:v>0.26880167936426608</c:v>
                </c:pt>
                <c:pt idx="49">
                  <c:v>0.24778719438292601</c:v>
                </c:pt>
                <c:pt idx="50">
                  <c:v>0.22880127167870812</c:v>
                </c:pt>
                <c:pt idx="51">
                  <c:v>0.21161728408469263</c:v>
                </c:pt>
                <c:pt idx="52">
                  <c:v>0.19603694818931938</c:v>
                </c:pt>
                <c:pt idx="53">
                  <c:v>0.18188643844932528</c:v>
                </c:pt>
                <c:pt idx="54">
                  <c:v>0.16901307679973449</c:v>
                </c:pt>
                <c:pt idx="55">
                  <c:v>0.15728250668476457</c:v>
                </c:pt>
                <c:pt idx="56">
                  <c:v>0.1465762757070736</c:v>
                </c:pt>
                <c:pt idx="57">
                  <c:v>0.13678976367020568</c:v>
                </c:pt>
                <c:pt idx="58">
                  <c:v>0.12783040316838468</c:v>
                </c:pt>
                <c:pt idx="59">
                  <c:v>0.1196161484616107</c:v>
                </c:pt>
                <c:pt idx="60">
                  <c:v>0.11207415548770615</c:v>
                </c:pt>
              </c:numCache>
            </c:numRef>
          </c:yVal>
          <c:smooth val="1"/>
        </c:ser>
        <c:ser>
          <c:idx val="2"/>
          <c:order val="2"/>
          <c:tx>
            <c:v>Beta</c:v>
          </c:tx>
          <c:marker>
            <c:symbol val="none"/>
          </c:marker>
          <c:xVal>
            <c:numRef>
              <c:f>'2 Thermistor from Beta'!$A$8:$A$68</c:f>
              <c:numCache>
                <c:formatCode>General</c:formatCode>
                <c:ptCount val="61"/>
                <c:pt idx="0">
                  <c:v>0</c:v>
                </c:pt>
                <c:pt idx="1">
                  <c:v>1.5346534653465347</c:v>
                </c:pt>
                <c:pt idx="2">
                  <c:v>3.0693069306930694</c:v>
                </c:pt>
                <c:pt idx="3">
                  <c:v>4.6039603960396036</c:v>
                </c:pt>
                <c:pt idx="4">
                  <c:v>6.1386138613861387</c:v>
                </c:pt>
                <c:pt idx="5">
                  <c:v>7.6732673267326739</c:v>
                </c:pt>
                <c:pt idx="6">
                  <c:v>9.2079207920792072</c:v>
                </c:pt>
                <c:pt idx="7">
                  <c:v>10.742574257425742</c:v>
                </c:pt>
                <c:pt idx="8">
                  <c:v>12.277227722772277</c:v>
                </c:pt>
                <c:pt idx="9">
                  <c:v>13.811881188118813</c:v>
                </c:pt>
                <c:pt idx="10">
                  <c:v>15.346534653465348</c:v>
                </c:pt>
                <c:pt idx="11">
                  <c:v>16.881188118811881</c:v>
                </c:pt>
                <c:pt idx="12">
                  <c:v>18.415841584158414</c:v>
                </c:pt>
                <c:pt idx="13">
                  <c:v>19.950495049504951</c:v>
                </c:pt>
                <c:pt idx="14">
                  <c:v>21.485148514851485</c:v>
                </c:pt>
                <c:pt idx="15">
                  <c:v>23.019801980198022</c:v>
                </c:pt>
                <c:pt idx="16">
                  <c:v>24.554455445544555</c:v>
                </c:pt>
                <c:pt idx="17">
                  <c:v>26.089108910891088</c:v>
                </c:pt>
                <c:pt idx="18">
                  <c:v>27.623762376237625</c:v>
                </c:pt>
                <c:pt idx="19">
                  <c:v>29.158415841584159</c:v>
                </c:pt>
                <c:pt idx="20">
                  <c:v>30.693069306930695</c:v>
                </c:pt>
                <c:pt idx="21">
                  <c:v>32.227722772277225</c:v>
                </c:pt>
                <c:pt idx="22">
                  <c:v>33.762376237623762</c:v>
                </c:pt>
                <c:pt idx="23">
                  <c:v>35.297029702970299</c:v>
                </c:pt>
                <c:pt idx="24">
                  <c:v>36.831683168316829</c:v>
                </c:pt>
                <c:pt idx="25">
                  <c:v>38.366336633663366</c:v>
                </c:pt>
                <c:pt idx="26">
                  <c:v>39.900990099009903</c:v>
                </c:pt>
                <c:pt idx="27">
                  <c:v>41.43564356435644</c:v>
                </c:pt>
                <c:pt idx="28">
                  <c:v>42.970297029702969</c:v>
                </c:pt>
                <c:pt idx="29">
                  <c:v>44.504950495049506</c:v>
                </c:pt>
                <c:pt idx="30">
                  <c:v>46.039603960396043</c:v>
                </c:pt>
                <c:pt idx="31">
                  <c:v>47.574257425742573</c:v>
                </c:pt>
                <c:pt idx="32">
                  <c:v>49.10891089108911</c:v>
                </c:pt>
                <c:pt idx="33">
                  <c:v>50.643564356435647</c:v>
                </c:pt>
                <c:pt idx="34">
                  <c:v>52.178217821782177</c:v>
                </c:pt>
                <c:pt idx="35">
                  <c:v>53.712871287128714</c:v>
                </c:pt>
                <c:pt idx="36">
                  <c:v>55.24752475247525</c:v>
                </c:pt>
                <c:pt idx="37">
                  <c:v>56.78217821782178</c:v>
                </c:pt>
                <c:pt idx="38">
                  <c:v>58.316831683168317</c:v>
                </c:pt>
                <c:pt idx="39">
                  <c:v>59.851485148514854</c:v>
                </c:pt>
                <c:pt idx="40">
                  <c:v>61.386138613861391</c:v>
                </c:pt>
                <c:pt idx="41">
                  <c:v>62.920792079207921</c:v>
                </c:pt>
                <c:pt idx="42">
                  <c:v>64.455445544554451</c:v>
                </c:pt>
                <c:pt idx="43">
                  <c:v>65.990099009900987</c:v>
                </c:pt>
                <c:pt idx="44">
                  <c:v>67.524752475247524</c:v>
                </c:pt>
                <c:pt idx="45">
                  <c:v>69.059405940594061</c:v>
                </c:pt>
                <c:pt idx="46">
                  <c:v>70.594059405940598</c:v>
                </c:pt>
                <c:pt idx="47">
                  <c:v>72.128712871287135</c:v>
                </c:pt>
                <c:pt idx="48">
                  <c:v>73.663366336633658</c:v>
                </c:pt>
                <c:pt idx="49">
                  <c:v>75.198019801980195</c:v>
                </c:pt>
                <c:pt idx="50">
                  <c:v>76.732673267326732</c:v>
                </c:pt>
                <c:pt idx="51">
                  <c:v>78.267326732673268</c:v>
                </c:pt>
                <c:pt idx="52">
                  <c:v>79.801980198019805</c:v>
                </c:pt>
                <c:pt idx="53">
                  <c:v>81.336633663366342</c:v>
                </c:pt>
                <c:pt idx="54">
                  <c:v>82.871287128712879</c:v>
                </c:pt>
                <c:pt idx="55">
                  <c:v>84.405940594059402</c:v>
                </c:pt>
                <c:pt idx="56">
                  <c:v>85.940594059405939</c:v>
                </c:pt>
                <c:pt idx="57">
                  <c:v>87.475247524752476</c:v>
                </c:pt>
                <c:pt idx="58">
                  <c:v>89.009900990099013</c:v>
                </c:pt>
                <c:pt idx="59">
                  <c:v>90.544554455445549</c:v>
                </c:pt>
                <c:pt idx="60">
                  <c:v>92.079207920792086</c:v>
                </c:pt>
              </c:numCache>
            </c:numRef>
          </c:xVal>
          <c:yVal>
            <c:numRef>
              <c:f>'2 Thermistor from Beta'!$C$8:$C$68</c:f>
              <c:numCache>
                <c:formatCode>General</c:formatCode>
                <c:ptCount val="61"/>
                <c:pt idx="0">
                  <c:v>402.9610219710886</c:v>
                </c:pt>
                <c:pt idx="1">
                  <c:v>367.22672331613876</c:v>
                </c:pt>
                <c:pt idx="2">
                  <c:v>335.00681574901085</c:v>
                </c:pt>
                <c:pt idx="3">
                  <c:v>305.92411143244823</c:v>
                </c:pt>
                <c:pt idx="4">
                  <c:v>279.6450948859827</c:v>
                </c:pt>
                <c:pt idx="5">
                  <c:v>255.87451533936468</c:v>
                </c:pt>
                <c:pt idx="6">
                  <c:v>234.35069026145339</c:v>
                </c:pt>
                <c:pt idx="7">
                  <c:v>214.84142127991959</c:v>
                </c:pt>
                <c:pt idx="8">
                  <c:v>197.14043813280435</c:v>
                </c:pt>
                <c:pt idx="9">
                  <c:v>181.06429851258409</c:v>
                </c:pt>
                <c:pt idx="10">
                  <c:v>166.44968202904457</c:v>
                </c:pt>
                <c:pt idx="11">
                  <c:v>153.15102532258524</c:v>
                </c:pt>
                <c:pt idx="12">
                  <c:v>141.03845284978783</c:v>
                </c:pt>
                <c:pt idx="13">
                  <c:v>129.99596424329775</c:v>
                </c:pt>
                <c:pt idx="14">
                  <c:v>119.91984459006102</c:v>
                </c:pt>
                <c:pt idx="15">
                  <c:v>110.71726861988347</c:v>
                </c:pt>
                <c:pt idx="16">
                  <c:v>102.30507377115575</c:v>
                </c:pt>
                <c:pt idx="17">
                  <c:v>94.608680504249662</c:v>
                </c:pt>
                <c:pt idx="18">
                  <c:v>87.561141151369412</c:v>
                </c:pt>
                <c:pt idx="19">
                  <c:v>81.102301096824519</c:v>
                </c:pt>
                <c:pt idx="20">
                  <c:v>75.178058234955429</c:v>
                </c:pt>
                <c:pt idx="21">
                  <c:v>69.739708505960337</c:v>
                </c:pt>
                <c:pt idx="22">
                  <c:v>64.743366906413911</c:v>
                </c:pt>
                <c:pt idx="23">
                  <c:v>60.149454748482768</c:v>
                </c:pt>
                <c:pt idx="24">
                  <c:v>55.922245131224813</c:v>
                </c:pt>
                <c:pt idx="25">
                  <c:v>52.029459615729287</c:v>
                </c:pt>
                <c:pt idx="26">
                  <c:v>48.441909986005008</c:v>
                </c:pt>
                <c:pt idx="27">
                  <c:v>45.133179748907779</c:v>
                </c:pt>
                <c:pt idx="28">
                  <c:v>42.079340695590481</c:v>
                </c:pt>
                <c:pt idx="29">
                  <c:v>39.258700428142824</c:v>
                </c:pt>
                <c:pt idx="30">
                  <c:v>36.651577260371639</c:v>
                </c:pt>
                <c:pt idx="31">
                  <c:v>34.240099341440839</c:v>
                </c:pt>
                <c:pt idx="32">
                  <c:v>32.008025234238247</c:v>
                </c:pt>
                <c:pt idx="33">
                  <c:v>29.940583514499913</c:v>
                </c:pt>
                <c:pt idx="34">
                  <c:v>28.024329248459512</c:v>
                </c:pt>
                <c:pt idx="35">
                  <c:v>26.247015461750912</c:v>
                </c:pt>
                <c:pt idx="36">
                  <c:v>24.597477935324825</c:v>
                </c:pt>
                <c:pt idx="37">
                  <c:v>23.065531859444395</c:v>
                </c:pt>
                <c:pt idx="38">
                  <c:v>21.641879048007951</c:v>
                </c:pt>
                <c:pt idx="39">
                  <c:v>20.318024565635007</c:v>
                </c:pt>
                <c:pt idx="40">
                  <c:v>19.086201751840893</c:v>
                </c:pt>
                <c:pt idx="41">
                  <c:v>17.939304742559834</c:v>
                </c:pt>
                <c:pt idx="42">
                  <c:v>16.870827691273004</c:v>
                </c:pt>
                <c:pt idx="43">
                  <c:v>15.874809981819624</c:v>
                </c:pt>
                <c:pt idx="44">
                  <c:v>14.945786804137317</c:v>
                </c:pt>
                <c:pt idx="45">
                  <c:v>14.078744534020583</c:v>
                </c:pt>
                <c:pt idx="46">
                  <c:v>13.269080419653642</c:v>
                </c:pt>
                <c:pt idx="47">
                  <c:v>12.512566132172267</c:v>
                </c:pt>
                <c:pt idx="48">
                  <c:v>11.805314785712183</c:v>
                </c:pt>
                <c:pt idx="49">
                  <c:v>11.143751075072879</c:v>
                </c:pt>
                <c:pt idx="50">
                  <c:v>10.524584216932219</c:v>
                </c:pt>
                <c:pt idx="51">
                  <c:v>9.9447834140692599</c:v>
                </c:pt>
                <c:pt idx="52">
                  <c:v>9.4015555918045077</c:v>
                </c:pt>
                <c:pt idx="53">
                  <c:v>8.8923251822875002</c:v>
                </c:pt>
                <c:pt idx="54">
                  <c:v>8.4147157557492065</c:v>
                </c:pt>
                <c:pt idx="55">
                  <c:v>7.9665333187290726</c:v>
                </c:pt>
                <c:pt idx="56">
                  <c:v>7.5457511178860512</c:v>
                </c:pt>
                <c:pt idx="57">
                  <c:v>7.1504958045755256</c:v>
                </c:pt>
                <c:pt idx="58">
                  <c:v>6.779034830149067</c:v>
                </c:pt>
                <c:pt idx="59">
                  <c:v>6.4297649551191123</c:v>
                </c:pt>
                <c:pt idx="60">
                  <c:v>6.101201767103551</c:v>
                </c:pt>
              </c:numCache>
            </c:numRef>
          </c:yVal>
          <c:smooth val="1"/>
        </c:ser>
        <c:axId val="123370496"/>
        <c:axId val="124048512"/>
      </c:scatterChart>
      <c:valAx>
        <c:axId val="123370496"/>
        <c:scaling>
          <c:orientation val="minMax"/>
        </c:scaling>
        <c:axPos val="b"/>
        <c:title>
          <c:tx>
            <c:rich>
              <a:bodyPr/>
              <a:lstStyle/>
              <a:p>
                <a:pPr>
                  <a:defRPr/>
                </a:pPr>
                <a:r>
                  <a:rPr lang="en-AU"/>
                  <a:t>T</a:t>
                </a:r>
                <a:r>
                  <a:rPr lang="en-AU" baseline="0"/>
                  <a:t> (°C)</a:t>
                </a:r>
                <a:endParaRPr lang="en-AU"/>
              </a:p>
            </c:rich>
          </c:tx>
        </c:title>
        <c:numFmt formatCode="General" sourceLinked="1"/>
        <c:majorTickMark val="none"/>
        <c:tickLblPos val="nextTo"/>
        <c:crossAx val="124048512"/>
        <c:crosses val="autoZero"/>
        <c:crossBetween val="midCat"/>
      </c:valAx>
      <c:valAx>
        <c:axId val="124048512"/>
        <c:scaling>
          <c:logBase val="10"/>
          <c:orientation val="minMax"/>
        </c:scaling>
        <c:axPos val="l"/>
        <c:majorGridlines/>
        <c:title>
          <c:tx>
            <c:rich>
              <a:bodyPr/>
              <a:lstStyle/>
              <a:p>
                <a:pPr>
                  <a:defRPr/>
                </a:pPr>
                <a:r>
                  <a:rPr lang="en-AU"/>
                  <a:t>R (kOhm)</a:t>
                </a:r>
              </a:p>
            </c:rich>
          </c:tx>
        </c:title>
        <c:numFmt formatCode="General" sourceLinked="1"/>
        <c:majorTickMark val="none"/>
        <c:tickLblPos val="nextTo"/>
        <c:crossAx val="123370496"/>
        <c:crosses val="autoZero"/>
        <c:crossBetween val="midCat"/>
      </c:valAx>
    </c:plotArea>
    <c:legend>
      <c:legendPos val="r"/>
    </c:legend>
    <c:plotVisOnly val="1"/>
    <c:dispBlanksAs val="gap"/>
  </c:chart>
</c:chartSpace>
</file>

<file path=xl/charts/chart5.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AU"/>
              <a:t>Comparison of Methods</a:t>
            </a:r>
          </a:p>
        </c:rich>
      </c:tx>
    </c:title>
    <c:plotArea>
      <c:layout/>
      <c:scatterChart>
        <c:scatterStyle val="smoothMarker"/>
        <c:ser>
          <c:idx val="0"/>
          <c:order val="0"/>
          <c:tx>
            <c:v>Thermistor Table</c:v>
          </c:tx>
          <c:marker>
            <c:symbol val="none"/>
          </c:marker>
          <c:xVal>
            <c:numRef>
              <c:f>'1 ThermistorTableConversion'!$E$8:$E$68</c:f>
              <c:numCache>
                <c:formatCode>General</c:formatCode>
                <c:ptCount val="61"/>
                <c:pt idx="0">
                  <c:v>16363</c:v>
                </c:pt>
                <c:pt idx="1">
                  <c:v>16360</c:v>
                </c:pt>
                <c:pt idx="2">
                  <c:v>16356</c:v>
                </c:pt>
                <c:pt idx="3">
                  <c:v>16351</c:v>
                </c:pt>
                <c:pt idx="4">
                  <c:v>16345</c:v>
                </c:pt>
                <c:pt idx="5">
                  <c:v>16335</c:v>
                </c:pt>
                <c:pt idx="6">
                  <c:v>16322</c:v>
                </c:pt>
                <c:pt idx="7">
                  <c:v>16305</c:v>
                </c:pt>
                <c:pt idx="8">
                  <c:v>16282</c:v>
                </c:pt>
                <c:pt idx="9">
                  <c:v>16252</c:v>
                </c:pt>
                <c:pt idx="10">
                  <c:v>16214</c:v>
                </c:pt>
                <c:pt idx="11">
                  <c:v>16163</c:v>
                </c:pt>
                <c:pt idx="12">
                  <c:v>16099</c:v>
                </c:pt>
                <c:pt idx="13">
                  <c:v>16018</c:v>
                </c:pt>
                <c:pt idx="14">
                  <c:v>15916</c:v>
                </c:pt>
                <c:pt idx="15">
                  <c:v>15789</c:v>
                </c:pt>
                <c:pt idx="16">
                  <c:v>15633</c:v>
                </c:pt>
                <c:pt idx="17">
                  <c:v>15444</c:v>
                </c:pt>
                <c:pt idx="18">
                  <c:v>15215</c:v>
                </c:pt>
                <c:pt idx="19">
                  <c:v>14943</c:v>
                </c:pt>
                <c:pt idx="20">
                  <c:v>14624</c:v>
                </c:pt>
                <c:pt idx="21">
                  <c:v>14254</c:v>
                </c:pt>
                <c:pt idx="22">
                  <c:v>13830</c:v>
                </c:pt>
                <c:pt idx="23">
                  <c:v>13353</c:v>
                </c:pt>
                <c:pt idx="24">
                  <c:v>12823</c:v>
                </c:pt>
                <c:pt idx="25">
                  <c:v>12244</c:v>
                </c:pt>
                <c:pt idx="26">
                  <c:v>11621</c:v>
                </c:pt>
                <c:pt idx="27">
                  <c:v>10962</c:v>
                </c:pt>
                <c:pt idx="28">
                  <c:v>10277</c:v>
                </c:pt>
                <c:pt idx="29">
                  <c:v>9576</c:v>
                </c:pt>
                <c:pt idx="30">
                  <c:v>8870</c:v>
                </c:pt>
                <c:pt idx="31">
                  <c:v>8170</c:v>
                </c:pt>
                <c:pt idx="32">
                  <c:v>7487</c:v>
                </c:pt>
                <c:pt idx="33">
                  <c:v>6827</c:v>
                </c:pt>
                <c:pt idx="34">
                  <c:v>6200</c:v>
                </c:pt>
                <c:pt idx="35">
                  <c:v>5609</c:v>
                </c:pt>
                <c:pt idx="36">
                  <c:v>5059</c:v>
                </c:pt>
                <c:pt idx="37">
                  <c:v>4551</c:v>
                </c:pt>
                <c:pt idx="38">
                  <c:v>4085</c:v>
                </c:pt>
                <c:pt idx="39">
                  <c:v>3662</c:v>
                </c:pt>
                <c:pt idx="40">
                  <c:v>3278</c:v>
                </c:pt>
                <c:pt idx="41">
                  <c:v>2932</c:v>
                </c:pt>
                <c:pt idx="42">
                  <c:v>2622</c:v>
                </c:pt>
                <c:pt idx="43">
                  <c:v>2622</c:v>
                </c:pt>
                <c:pt idx="44">
                  <c:v>2622</c:v>
                </c:pt>
                <c:pt idx="45">
                  <c:v>2622</c:v>
                </c:pt>
                <c:pt idx="46">
                  <c:v>2622</c:v>
                </c:pt>
                <c:pt idx="47">
                  <c:v>2622</c:v>
                </c:pt>
                <c:pt idx="48">
                  <c:v>2622</c:v>
                </c:pt>
                <c:pt idx="49">
                  <c:v>2622</c:v>
                </c:pt>
                <c:pt idx="50">
                  <c:v>2622</c:v>
                </c:pt>
                <c:pt idx="51">
                  <c:v>2622</c:v>
                </c:pt>
                <c:pt idx="52">
                  <c:v>2622</c:v>
                </c:pt>
                <c:pt idx="53">
                  <c:v>2622</c:v>
                </c:pt>
                <c:pt idx="54">
                  <c:v>2622</c:v>
                </c:pt>
                <c:pt idx="55">
                  <c:v>2622</c:v>
                </c:pt>
                <c:pt idx="56">
                  <c:v>2622</c:v>
                </c:pt>
                <c:pt idx="57">
                  <c:v>2622</c:v>
                </c:pt>
                <c:pt idx="58">
                  <c:v>2622</c:v>
                </c:pt>
                <c:pt idx="59">
                  <c:v>2622</c:v>
                </c:pt>
                <c:pt idx="60">
                  <c:v>2622</c:v>
                </c:pt>
              </c:numCache>
            </c:numRef>
          </c:xVal>
          <c:y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1"/>
          <c:order val="1"/>
          <c:tx>
            <c:v>Steinhart-Hart</c:v>
          </c:tx>
          <c:marker>
            <c:symbol val="none"/>
          </c:marker>
          <c:xVal>
            <c:numRef>
              <c:f>'3 Thermistor from SteinhartHart'!$H$10:$H$70</c:f>
              <c:numCache>
                <c:formatCode>General</c:formatCode>
                <c:ptCount val="61"/>
                <c:pt idx="0">
                  <c:v>16122</c:v>
                </c:pt>
                <c:pt idx="1">
                  <c:v>16058</c:v>
                </c:pt>
                <c:pt idx="2">
                  <c:v>15980</c:v>
                </c:pt>
                <c:pt idx="3">
                  <c:v>15885</c:v>
                </c:pt>
                <c:pt idx="4">
                  <c:v>15770</c:v>
                </c:pt>
                <c:pt idx="5">
                  <c:v>15633</c:v>
                </c:pt>
                <c:pt idx="6">
                  <c:v>15470</c:v>
                </c:pt>
                <c:pt idx="7">
                  <c:v>15278</c:v>
                </c:pt>
                <c:pt idx="8">
                  <c:v>15053</c:v>
                </c:pt>
                <c:pt idx="9">
                  <c:v>14793</c:v>
                </c:pt>
                <c:pt idx="10">
                  <c:v>14494</c:v>
                </c:pt>
                <c:pt idx="11">
                  <c:v>14156</c:v>
                </c:pt>
                <c:pt idx="12">
                  <c:v>13776</c:v>
                </c:pt>
                <c:pt idx="13">
                  <c:v>13355</c:v>
                </c:pt>
                <c:pt idx="14">
                  <c:v>12894</c:v>
                </c:pt>
                <c:pt idx="15">
                  <c:v>12395</c:v>
                </c:pt>
                <c:pt idx="16">
                  <c:v>11861</c:v>
                </c:pt>
                <c:pt idx="17">
                  <c:v>11299</c:v>
                </c:pt>
                <c:pt idx="18">
                  <c:v>10714</c:v>
                </c:pt>
                <c:pt idx="19">
                  <c:v>10112</c:v>
                </c:pt>
                <c:pt idx="20">
                  <c:v>9502</c:v>
                </c:pt>
                <c:pt idx="21">
                  <c:v>8890</c:v>
                </c:pt>
                <c:pt idx="22">
                  <c:v>8285</c:v>
                </c:pt>
                <c:pt idx="23">
                  <c:v>7692</c:v>
                </c:pt>
                <c:pt idx="24">
                  <c:v>7117</c:v>
                </c:pt>
                <c:pt idx="25">
                  <c:v>6565</c:v>
                </c:pt>
                <c:pt idx="26">
                  <c:v>6040</c:v>
                </c:pt>
                <c:pt idx="27">
                  <c:v>5545</c:v>
                </c:pt>
                <c:pt idx="28">
                  <c:v>5080</c:v>
                </c:pt>
                <c:pt idx="29">
                  <c:v>4648</c:v>
                </c:pt>
                <c:pt idx="30">
                  <c:v>4247</c:v>
                </c:pt>
                <c:pt idx="31">
                  <c:v>3878</c:v>
                </c:pt>
                <c:pt idx="32">
                  <c:v>3539</c:v>
                </c:pt>
                <c:pt idx="33">
                  <c:v>3229</c:v>
                </c:pt>
                <c:pt idx="34">
                  <c:v>2946</c:v>
                </c:pt>
                <c:pt idx="35">
                  <c:v>2689</c:v>
                </c:pt>
                <c:pt idx="36">
                  <c:v>2455</c:v>
                </c:pt>
                <c:pt idx="37">
                  <c:v>2242</c:v>
                </c:pt>
                <c:pt idx="38">
                  <c:v>2050</c:v>
                </c:pt>
                <c:pt idx="39">
                  <c:v>1876</c:v>
                </c:pt>
                <c:pt idx="40">
                  <c:v>1718</c:v>
                </c:pt>
                <c:pt idx="41">
                  <c:v>1575</c:v>
                </c:pt>
                <c:pt idx="42">
                  <c:v>1445</c:v>
                </c:pt>
                <c:pt idx="43">
                  <c:v>1328</c:v>
                </c:pt>
                <c:pt idx="44">
                  <c:v>1221</c:v>
                </c:pt>
                <c:pt idx="45">
                  <c:v>1125</c:v>
                </c:pt>
                <c:pt idx="46">
                  <c:v>1037</c:v>
                </c:pt>
                <c:pt idx="47">
                  <c:v>958</c:v>
                </c:pt>
                <c:pt idx="48">
                  <c:v>885</c:v>
                </c:pt>
                <c:pt idx="49">
                  <c:v>820</c:v>
                </c:pt>
                <c:pt idx="50">
                  <c:v>760</c:v>
                </c:pt>
                <c:pt idx="51">
                  <c:v>705</c:v>
                </c:pt>
                <c:pt idx="52">
                  <c:v>655</c:v>
                </c:pt>
                <c:pt idx="53">
                  <c:v>610</c:v>
                </c:pt>
                <c:pt idx="54">
                  <c:v>568</c:v>
                </c:pt>
                <c:pt idx="55">
                  <c:v>530</c:v>
                </c:pt>
                <c:pt idx="56">
                  <c:v>495</c:v>
                </c:pt>
                <c:pt idx="57">
                  <c:v>463</c:v>
                </c:pt>
                <c:pt idx="58">
                  <c:v>433</c:v>
                </c:pt>
                <c:pt idx="59">
                  <c:v>406</c:v>
                </c:pt>
                <c:pt idx="60">
                  <c:v>381</c:v>
                </c:pt>
              </c:numCache>
            </c:numRef>
          </c:xVal>
          <c:y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2"/>
          <c:order val="2"/>
          <c:tx>
            <c:v>Beta</c:v>
          </c:tx>
          <c:marker>
            <c:symbol val="none"/>
          </c:marker>
          <c:xVal>
            <c:numRef>
              <c:f>'2 Thermistor from Beta'!$F$8:$F$68</c:f>
              <c:numCache>
                <c:formatCode>General</c:formatCode>
                <c:ptCount val="61"/>
                <c:pt idx="0">
                  <c:v>16179</c:v>
                </c:pt>
                <c:pt idx="1">
                  <c:v>16161</c:v>
                </c:pt>
                <c:pt idx="2">
                  <c:v>16142</c:v>
                </c:pt>
                <c:pt idx="3">
                  <c:v>16120</c:v>
                </c:pt>
                <c:pt idx="4">
                  <c:v>16097</c:v>
                </c:pt>
                <c:pt idx="5">
                  <c:v>16073</c:v>
                </c:pt>
                <c:pt idx="6">
                  <c:v>16046</c:v>
                </c:pt>
                <c:pt idx="7">
                  <c:v>16018</c:v>
                </c:pt>
                <c:pt idx="8">
                  <c:v>15987</c:v>
                </c:pt>
                <c:pt idx="9">
                  <c:v>15954</c:v>
                </c:pt>
                <c:pt idx="10">
                  <c:v>15919</c:v>
                </c:pt>
                <c:pt idx="11">
                  <c:v>15881</c:v>
                </c:pt>
                <c:pt idx="12">
                  <c:v>15840</c:v>
                </c:pt>
                <c:pt idx="13">
                  <c:v>15797</c:v>
                </c:pt>
                <c:pt idx="14">
                  <c:v>15751</c:v>
                </c:pt>
                <c:pt idx="15">
                  <c:v>15701</c:v>
                </c:pt>
                <c:pt idx="16">
                  <c:v>15649</c:v>
                </c:pt>
                <c:pt idx="17">
                  <c:v>15593</c:v>
                </c:pt>
                <c:pt idx="18">
                  <c:v>15534</c:v>
                </c:pt>
                <c:pt idx="19">
                  <c:v>15471</c:v>
                </c:pt>
                <c:pt idx="20">
                  <c:v>15405</c:v>
                </c:pt>
                <c:pt idx="21">
                  <c:v>15335</c:v>
                </c:pt>
                <c:pt idx="22">
                  <c:v>15260</c:v>
                </c:pt>
                <c:pt idx="23">
                  <c:v>15182</c:v>
                </c:pt>
                <c:pt idx="24">
                  <c:v>15099</c:v>
                </c:pt>
                <c:pt idx="25">
                  <c:v>15012</c:v>
                </c:pt>
                <c:pt idx="26">
                  <c:v>14920</c:v>
                </c:pt>
                <c:pt idx="27">
                  <c:v>14824</c:v>
                </c:pt>
                <c:pt idx="28">
                  <c:v>14723</c:v>
                </c:pt>
                <c:pt idx="29">
                  <c:v>14618</c:v>
                </c:pt>
                <c:pt idx="30">
                  <c:v>14508</c:v>
                </c:pt>
                <c:pt idx="31">
                  <c:v>14392</c:v>
                </c:pt>
                <c:pt idx="32">
                  <c:v>14272</c:v>
                </c:pt>
                <c:pt idx="33">
                  <c:v>14147</c:v>
                </c:pt>
                <c:pt idx="34">
                  <c:v>14017</c:v>
                </c:pt>
                <c:pt idx="35">
                  <c:v>13882</c:v>
                </c:pt>
                <c:pt idx="36">
                  <c:v>13742</c:v>
                </c:pt>
                <c:pt idx="37">
                  <c:v>13597</c:v>
                </c:pt>
                <c:pt idx="38">
                  <c:v>13448</c:v>
                </c:pt>
                <c:pt idx="39">
                  <c:v>13293</c:v>
                </c:pt>
                <c:pt idx="40">
                  <c:v>13134</c:v>
                </c:pt>
                <c:pt idx="41">
                  <c:v>12970</c:v>
                </c:pt>
                <c:pt idx="42">
                  <c:v>12802</c:v>
                </c:pt>
                <c:pt idx="43">
                  <c:v>12629</c:v>
                </c:pt>
                <c:pt idx="44">
                  <c:v>12452</c:v>
                </c:pt>
                <c:pt idx="45">
                  <c:v>12271</c:v>
                </c:pt>
                <c:pt idx="46">
                  <c:v>12087</c:v>
                </c:pt>
                <c:pt idx="47">
                  <c:v>11899</c:v>
                </c:pt>
                <c:pt idx="48">
                  <c:v>11707</c:v>
                </c:pt>
                <c:pt idx="49">
                  <c:v>11512</c:v>
                </c:pt>
                <c:pt idx="50">
                  <c:v>11315</c:v>
                </c:pt>
                <c:pt idx="51">
                  <c:v>11115</c:v>
                </c:pt>
                <c:pt idx="52">
                  <c:v>10913</c:v>
                </c:pt>
                <c:pt idx="53">
                  <c:v>10708</c:v>
                </c:pt>
                <c:pt idx="54">
                  <c:v>10502</c:v>
                </c:pt>
                <c:pt idx="55">
                  <c:v>10295</c:v>
                </c:pt>
                <c:pt idx="56">
                  <c:v>10086</c:v>
                </c:pt>
                <c:pt idx="57">
                  <c:v>9876</c:v>
                </c:pt>
                <c:pt idx="58">
                  <c:v>9666</c:v>
                </c:pt>
                <c:pt idx="59">
                  <c:v>9456</c:v>
                </c:pt>
                <c:pt idx="60">
                  <c:v>9246</c:v>
                </c:pt>
              </c:numCache>
            </c:numRef>
          </c:xVal>
          <c:yVal>
            <c:numRef>
              <c:f>'2 Thermistor from Beta'!$A$8:$A$68</c:f>
              <c:numCache>
                <c:formatCode>General</c:formatCode>
                <c:ptCount val="61"/>
                <c:pt idx="0">
                  <c:v>0</c:v>
                </c:pt>
                <c:pt idx="1">
                  <c:v>1.5346534653465347</c:v>
                </c:pt>
                <c:pt idx="2">
                  <c:v>3.0693069306930694</c:v>
                </c:pt>
                <c:pt idx="3">
                  <c:v>4.6039603960396036</c:v>
                </c:pt>
                <c:pt idx="4">
                  <c:v>6.1386138613861387</c:v>
                </c:pt>
                <c:pt idx="5">
                  <c:v>7.6732673267326739</c:v>
                </c:pt>
                <c:pt idx="6">
                  <c:v>9.2079207920792072</c:v>
                </c:pt>
                <c:pt idx="7">
                  <c:v>10.742574257425742</c:v>
                </c:pt>
                <c:pt idx="8">
                  <c:v>12.277227722772277</c:v>
                </c:pt>
                <c:pt idx="9">
                  <c:v>13.811881188118813</c:v>
                </c:pt>
                <c:pt idx="10">
                  <c:v>15.346534653465348</c:v>
                </c:pt>
                <c:pt idx="11">
                  <c:v>16.881188118811881</c:v>
                </c:pt>
                <c:pt idx="12">
                  <c:v>18.415841584158414</c:v>
                </c:pt>
                <c:pt idx="13">
                  <c:v>19.950495049504951</c:v>
                </c:pt>
                <c:pt idx="14">
                  <c:v>21.485148514851485</c:v>
                </c:pt>
                <c:pt idx="15">
                  <c:v>23.019801980198022</c:v>
                </c:pt>
                <c:pt idx="16">
                  <c:v>24.554455445544555</c:v>
                </c:pt>
                <c:pt idx="17">
                  <c:v>26.089108910891088</c:v>
                </c:pt>
                <c:pt idx="18">
                  <c:v>27.623762376237625</c:v>
                </c:pt>
                <c:pt idx="19">
                  <c:v>29.158415841584159</c:v>
                </c:pt>
                <c:pt idx="20">
                  <c:v>30.693069306930695</c:v>
                </c:pt>
                <c:pt idx="21">
                  <c:v>32.227722772277225</c:v>
                </c:pt>
                <c:pt idx="22">
                  <c:v>33.762376237623762</c:v>
                </c:pt>
                <c:pt idx="23">
                  <c:v>35.297029702970299</c:v>
                </c:pt>
                <c:pt idx="24">
                  <c:v>36.831683168316829</c:v>
                </c:pt>
                <c:pt idx="25">
                  <c:v>38.366336633663366</c:v>
                </c:pt>
                <c:pt idx="26">
                  <c:v>39.900990099009903</c:v>
                </c:pt>
                <c:pt idx="27">
                  <c:v>41.43564356435644</c:v>
                </c:pt>
                <c:pt idx="28">
                  <c:v>42.970297029702969</c:v>
                </c:pt>
                <c:pt idx="29">
                  <c:v>44.504950495049506</c:v>
                </c:pt>
                <c:pt idx="30">
                  <c:v>46.039603960396043</c:v>
                </c:pt>
                <c:pt idx="31">
                  <c:v>47.574257425742573</c:v>
                </c:pt>
                <c:pt idx="32">
                  <c:v>49.10891089108911</c:v>
                </c:pt>
                <c:pt idx="33">
                  <c:v>50.643564356435647</c:v>
                </c:pt>
                <c:pt idx="34">
                  <c:v>52.178217821782177</c:v>
                </c:pt>
                <c:pt idx="35">
                  <c:v>53.712871287128714</c:v>
                </c:pt>
                <c:pt idx="36">
                  <c:v>55.24752475247525</c:v>
                </c:pt>
                <c:pt idx="37">
                  <c:v>56.78217821782178</c:v>
                </c:pt>
                <c:pt idx="38">
                  <c:v>58.316831683168317</c:v>
                </c:pt>
                <c:pt idx="39">
                  <c:v>59.851485148514854</c:v>
                </c:pt>
                <c:pt idx="40">
                  <c:v>61.386138613861391</c:v>
                </c:pt>
                <c:pt idx="41">
                  <c:v>62.920792079207921</c:v>
                </c:pt>
                <c:pt idx="42">
                  <c:v>64.455445544554451</c:v>
                </c:pt>
                <c:pt idx="43">
                  <c:v>65.990099009900987</c:v>
                </c:pt>
                <c:pt idx="44">
                  <c:v>67.524752475247524</c:v>
                </c:pt>
                <c:pt idx="45">
                  <c:v>69.059405940594061</c:v>
                </c:pt>
                <c:pt idx="46">
                  <c:v>70.594059405940598</c:v>
                </c:pt>
                <c:pt idx="47">
                  <c:v>72.128712871287135</c:v>
                </c:pt>
                <c:pt idx="48">
                  <c:v>73.663366336633658</c:v>
                </c:pt>
                <c:pt idx="49">
                  <c:v>75.198019801980195</c:v>
                </c:pt>
                <c:pt idx="50">
                  <c:v>76.732673267326732</c:v>
                </c:pt>
                <c:pt idx="51">
                  <c:v>78.267326732673268</c:v>
                </c:pt>
                <c:pt idx="52">
                  <c:v>79.801980198019805</c:v>
                </c:pt>
                <c:pt idx="53">
                  <c:v>81.336633663366342</c:v>
                </c:pt>
                <c:pt idx="54">
                  <c:v>82.871287128712879</c:v>
                </c:pt>
                <c:pt idx="55">
                  <c:v>84.405940594059402</c:v>
                </c:pt>
                <c:pt idx="56">
                  <c:v>85.940594059405939</c:v>
                </c:pt>
                <c:pt idx="57">
                  <c:v>87.475247524752476</c:v>
                </c:pt>
                <c:pt idx="58">
                  <c:v>89.009900990099013</c:v>
                </c:pt>
                <c:pt idx="59">
                  <c:v>90.544554455445549</c:v>
                </c:pt>
                <c:pt idx="60">
                  <c:v>92.079207920792086</c:v>
                </c:pt>
              </c:numCache>
            </c:numRef>
          </c:yVal>
          <c:smooth val="1"/>
        </c:ser>
        <c:axId val="167426688"/>
        <c:axId val="167695104"/>
      </c:scatterChart>
      <c:valAx>
        <c:axId val="167426688"/>
        <c:scaling>
          <c:orientation val="minMax"/>
        </c:scaling>
        <c:axPos val="b"/>
        <c:title>
          <c:tx>
            <c:rich>
              <a:bodyPr/>
              <a:lstStyle/>
              <a:p>
                <a:pPr>
                  <a:defRPr/>
                </a:pPr>
                <a:r>
                  <a:rPr lang="en-AU"/>
                  <a:t>Reading ADC (oversampled)</a:t>
                </a:r>
              </a:p>
            </c:rich>
          </c:tx>
        </c:title>
        <c:numFmt formatCode="General" sourceLinked="1"/>
        <c:majorTickMark val="none"/>
        <c:tickLblPos val="nextTo"/>
        <c:crossAx val="167695104"/>
        <c:crosses val="autoZero"/>
        <c:crossBetween val="midCat"/>
      </c:valAx>
      <c:valAx>
        <c:axId val="167695104"/>
        <c:scaling>
          <c:orientation val="minMax"/>
        </c:scaling>
        <c:axPos val="l"/>
        <c:majorGridlines/>
        <c:title>
          <c:tx>
            <c:rich>
              <a:bodyPr/>
              <a:lstStyle/>
              <a:p>
                <a:pPr>
                  <a:defRPr/>
                </a:pPr>
                <a:r>
                  <a:rPr lang="en-AU"/>
                  <a:t>Temp (°C)</a:t>
                </a:r>
              </a:p>
            </c:rich>
          </c:tx>
        </c:title>
        <c:numFmt formatCode="General" sourceLinked="1"/>
        <c:majorTickMark val="none"/>
        <c:tickLblPos val="nextTo"/>
        <c:crossAx val="167426688"/>
        <c:crosses val="autoZero"/>
        <c:crossBetween val="midCat"/>
      </c:valAx>
    </c:plotArea>
    <c:legend>
      <c:legendPos val="r"/>
    </c:legend>
    <c:plotVisOnly val="1"/>
    <c:dispBlanksAs val="gap"/>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5"/>
  <sheetViews>
    <sheetView zoomScale="9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6"/>
  <sheetViews>
    <sheetView zoomScale="12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12</xdr:col>
      <xdr:colOff>52387</xdr:colOff>
      <xdr:row>27</xdr:row>
      <xdr:rowOff>14287</xdr:rowOff>
    </xdr:from>
    <xdr:to>
      <xdr:col>17</xdr:col>
      <xdr:colOff>566737</xdr:colOff>
      <xdr:row>41</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28575</xdr:colOff>
      <xdr:row>11</xdr:row>
      <xdr:rowOff>180975</xdr:rowOff>
    </xdr:from>
    <xdr:to>
      <xdr:col>17</xdr:col>
      <xdr:colOff>542925</xdr:colOff>
      <xdr:row>26</xdr:row>
      <xdr:rowOff>66675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43</xdr:row>
      <xdr:rowOff>0</xdr:rowOff>
    </xdr:from>
    <xdr:to>
      <xdr:col>17</xdr:col>
      <xdr:colOff>514350</xdr:colOff>
      <xdr:row>57</xdr:row>
      <xdr:rowOff>76200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400050</xdr:colOff>
      <xdr:row>11</xdr:row>
      <xdr:rowOff>180975</xdr:rowOff>
    </xdr:from>
    <xdr:to>
      <xdr:col>0</xdr:col>
      <xdr:colOff>7123860</xdr:colOff>
      <xdr:row>46</xdr:row>
      <xdr:rowOff>122999</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400050" y="6848475"/>
          <a:ext cx="6723810" cy="6609524"/>
        </a:xfrm>
        <a:prstGeom prst="rect">
          <a:avLst/>
        </a:prstGeom>
      </xdr:spPr>
    </xdr:pic>
    <xdr:clientData/>
  </xdr:twoCellAnchor>
  <xdr:twoCellAnchor editAs="oneCell">
    <xdr:from>
      <xdr:col>0</xdr:col>
      <xdr:colOff>390525</xdr:colOff>
      <xdr:row>46</xdr:row>
      <xdr:rowOff>152400</xdr:rowOff>
    </xdr:from>
    <xdr:to>
      <xdr:col>0</xdr:col>
      <xdr:colOff>6990525</xdr:colOff>
      <xdr:row>80</xdr:row>
      <xdr:rowOff>170639</xdr:rowOff>
    </xdr:to>
    <xdr:pic>
      <xdr:nvPicPr>
        <xdr:cNvPr id="4" name="Picture 3"/>
        <xdr:cNvPicPr>
          <a:picLocks noChangeAspect="1"/>
        </xdr:cNvPicPr>
      </xdr:nvPicPr>
      <xdr:blipFill>
        <a:blip xmlns:r="http://schemas.openxmlformats.org/officeDocument/2006/relationships" r:embed="rId2" cstate="print"/>
        <a:stretch>
          <a:fillRect/>
        </a:stretch>
      </xdr:blipFill>
      <xdr:spPr>
        <a:xfrm>
          <a:off x="390525" y="7391400"/>
          <a:ext cx="6600000" cy="6495239"/>
        </a:xfrm>
        <a:prstGeom prst="rect">
          <a:avLst/>
        </a:prstGeom>
      </xdr:spPr>
    </xdr:pic>
    <xdr:clientData/>
  </xdr:twoCellAnchor>
  <xdr:twoCellAnchor editAs="oneCell">
    <xdr:from>
      <xdr:col>0</xdr:col>
      <xdr:colOff>1009650</xdr:colOff>
      <xdr:row>81</xdr:row>
      <xdr:rowOff>85725</xdr:rowOff>
    </xdr:from>
    <xdr:to>
      <xdr:col>0</xdr:col>
      <xdr:colOff>6266793</xdr:colOff>
      <xdr:row>120</xdr:row>
      <xdr:rowOff>160987</xdr:rowOff>
    </xdr:to>
    <xdr:pic>
      <xdr:nvPicPr>
        <xdr:cNvPr id="5" name="Picture 4"/>
        <xdr:cNvPicPr>
          <a:picLocks noChangeAspect="1"/>
        </xdr:cNvPicPr>
      </xdr:nvPicPr>
      <xdr:blipFill>
        <a:blip xmlns:r="http://schemas.openxmlformats.org/officeDocument/2006/relationships" r:embed="rId3" cstate="print"/>
        <a:stretch>
          <a:fillRect/>
        </a:stretch>
      </xdr:blipFill>
      <xdr:spPr>
        <a:xfrm>
          <a:off x="1009650" y="13992225"/>
          <a:ext cx="5257143" cy="7504762"/>
        </a:xfrm>
        <a:prstGeom prst="rect">
          <a:avLst/>
        </a:prstGeom>
      </xdr:spPr>
    </xdr:pic>
    <xdr:clientData/>
  </xdr:twoCellAnchor>
  <xdr:twoCellAnchor editAs="oneCell">
    <xdr:from>
      <xdr:col>0</xdr:col>
      <xdr:colOff>838200</xdr:colOff>
      <xdr:row>121</xdr:row>
      <xdr:rowOff>95250</xdr:rowOff>
    </xdr:from>
    <xdr:to>
      <xdr:col>0</xdr:col>
      <xdr:colOff>6095343</xdr:colOff>
      <xdr:row>149</xdr:row>
      <xdr:rowOff>27917</xdr:rowOff>
    </xdr:to>
    <xdr:pic>
      <xdr:nvPicPr>
        <xdr:cNvPr id="6" name="Picture 5"/>
        <xdr:cNvPicPr>
          <a:picLocks noChangeAspect="1"/>
        </xdr:cNvPicPr>
      </xdr:nvPicPr>
      <xdr:blipFill>
        <a:blip xmlns:r="http://schemas.openxmlformats.org/officeDocument/2006/relationships" r:embed="rId4" cstate="print"/>
        <a:stretch>
          <a:fillRect/>
        </a:stretch>
      </xdr:blipFill>
      <xdr:spPr>
        <a:xfrm>
          <a:off x="838200" y="21621750"/>
          <a:ext cx="5257143" cy="52666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xdr:colOff>
      <xdr:row>5</xdr:row>
      <xdr:rowOff>30480</xdr:rowOff>
    </xdr:from>
    <xdr:to>
      <xdr:col>9</xdr:col>
      <xdr:colOff>335783</xdr:colOff>
      <xdr:row>35</xdr:row>
      <xdr:rowOff>152886</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22860" y="944880"/>
          <a:ext cx="5799323" cy="56088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9285402" cy="606457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74835" cy="629752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Sheet1"/>
  <dimension ref="A1:N77"/>
  <sheetViews>
    <sheetView workbookViewId="0">
      <selection activeCell="L71" sqref="L71"/>
    </sheetView>
  </sheetViews>
  <sheetFormatPr baseColWidth="10" defaultColWidth="8.88671875" defaultRowHeight="14.4"/>
  <cols>
    <col min="14" max="14" width="24.33203125" customWidth="1"/>
  </cols>
  <sheetData>
    <row r="1" spans="1:14">
      <c r="A1" t="s">
        <v>3</v>
      </c>
      <c r="B1" s="2">
        <v>4.7</v>
      </c>
      <c r="C1" t="s">
        <v>4</v>
      </c>
      <c r="N1" s="1" t="s">
        <v>24</v>
      </c>
    </row>
    <row r="2" spans="1:14">
      <c r="A2" t="s">
        <v>5</v>
      </c>
      <c r="B2" s="2">
        <v>5</v>
      </c>
      <c r="C2" t="s">
        <v>6</v>
      </c>
    </row>
    <row r="3" spans="1:14">
      <c r="A3" t="s">
        <v>7</v>
      </c>
      <c r="B3" s="2">
        <v>16</v>
      </c>
    </row>
    <row r="4" spans="1:14">
      <c r="A4" t="s">
        <v>12</v>
      </c>
      <c r="B4" s="2">
        <v>100</v>
      </c>
      <c r="C4" t="s">
        <v>13</v>
      </c>
    </row>
    <row r="5" spans="1:14">
      <c r="A5" t="s">
        <v>15</v>
      </c>
      <c r="B5" s="2">
        <v>1023</v>
      </c>
      <c r="C5" t="s">
        <v>16</v>
      </c>
    </row>
    <row r="7" spans="1:14">
      <c r="A7" t="s">
        <v>1</v>
      </c>
      <c r="B7" t="s">
        <v>2</v>
      </c>
      <c r="C7" t="s">
        <v>0</v>
      </c>
      <c r="D7" t="s">
        <v>8</v>
      </c>
      <c r="E7" t="s">
        <v>14</v>
      </c>
      <c r="J7" t="s">
        <v>10</v>
      </c>
      <c r="K7" t="s">
        <v>9</v>
      </c>
    </row>
    <row r="8" spans="1:14">
      <c r="A8" s="4">
        <v>0</v>
      </c>
      <c r="B8" s="5">
        <f>K8*$B$4</f>
        <v>14200</v>
      </c>
      <c r="C8">
        <f>B8*$B$2/(B8+$B$1)</f>
        <v>4.9983456179996759</v>
      </c>
      <c r="D8" s="7">
        <f>(C8/$B$2*$B$5)</f>
        <v>1022.6615134427337</v>
      </c>
      <c r="E8" s="4">
        <f>ROUND(D8*$B$3,0)</f>
        <v>16363</v>
      </c>
      <c r="J8" s="2">
        <v>-55</v>
      </c>
      <c r="K8" s="2">
        <v>142</v>
      </c>
      <c r="L8" s="1"/>
      <c r="M8" s="1" t="s">
        <v>23</v>
      </c>
    </row>
    <row r="9" spans="1:14">
      <c r="A9" s="4">
        <v>5</v>
      </c>
      <c r="B9" s="5">
        <f t="shared" ref="B9:B68" si="0">K9*$B$4</f>
        <v>9661.5</v>
      </c>
      <c r="C9">
        <f t="shared" ref="C9:C68" si="1">B9*$B$2/(B9+$B$1)</f>
        <v>4.9975688481512899</v>
      </c>
      <c r="D9" s="7">
        <f t="shared" ref="D9:D68" si="2">(C9/$B$2*$B$5)</f>
        <v>1022.5025863317538</v>
      </c>
      <c r="E9" s="4">
        <f t="shared" ref="E9:E68" si="3">ROUND(D9*$B$3,0)</f>
        <v>16360</v>
      </c>
      <c r="J9" s="2">
        <v>-50</v>
      </c>
      <c r="K9" s="2">
        <v>96.614999999999995</v>
      </c>
      <c r="N9" s="2" t="s">
        <v>69</v>
      </c>
    </row>
    <row r="10" spans="1:14">
      <c r="A10" s="4">
        <v>10</v>
      </c>
      <c r="B10" s="5">
        <f t="shared" si="0"/>
        <v>6656.2</v>
      </c>
      <c r="C10">
        <f t="shared" si="1"/>
        <v>4.9964719482352233</v>
      </c>
      <c r="D10" s="7">
        <f t="shared" si="2"/>
        <v>1022.2781606089267</v>
      </c>
      <c r="E10" s="4">
        <f t="shared" si="3"/>
        <v>16356</v>
      </c>
      <c r="J10" s="2">
        <v>-45</v>
      </c>
      <c r="K10" s="2">
        <v>66.561999999999998</v>
      </c>
      <c r="N10" s="2" t="s">
        <v>70</v>
      </c>
    </row>
    <row r="11" spans="1:14">
      <c r="A11" s="4">
        <v>15</v>
      </c>
      <c r="B11" s="5">
        <f t="shared" si="0"/>
        <v>4640</v>
      </c>
      <c r="C11">
        <f t="shared" si="1"/>
        <v>4.9949404697827635</v>
      </c>
      <c r="D11" s="7">
        <f t="shared" si="2"/>
        <v>1021.9648201175535</v>
      </c>
      <c r="E11" s="4">
        <f t="shared" si="3"/>
        <v>16351</v>
      </c>
      <c r="J11" s="2">
        <v>-40</v>
      </c>
      <c r="K11" s="2">
        <v>46.4</v>
      </c>
      <c r="N11" s="2" t="s">
        <v>11</v>
      </c>
    </row>
    <row r="12" spans="1:14">
      <c r="A12" s="4">
        <v>20</v>
      </c>
      <c r="B12" s="5">
        <f t="shared" si="0"/>
        <v>3270.7999999999997</v>
      </c>
      <c r="C12">
        <f t="shared" si="1"/>
        <v>4.9928255228209437</v>
      </c>
      <c r="D12" s="7">
        <f t="shared" si="2"/>
        <v>1021.5321019691652</v>
      </c>
      <c r="E12" s="4">
        <f t="shared" si="3"/>
        <v>16345</v>
      </c>
      <c r="J12" s="2">
        <v>-35</v>
      </c>
      <c r="K12" s="2">
        <v>32.707999999999998</v>
      </c>
    </row>
    <row r="13" spans="1:14">
      <c r="A13" s="4">
        <v>25</v>
      </c>
      <c r="B13" s="5">
        <f t="shared" si="0"/>
        <v>2330.1999999999998</v>
      </c>
      <c r="C13">
        <f t="shared" si="1"/>
        <v>4.9899353291361521</v>
      </c>
      <c r="D13" s="7">
        <f t="shared" si="2"/>
        <v>1020.9407683412567</v>
      </c>
      <c r="E13" s="4">
        <f t="shared" si="3"/>
        <v>16335</v>
      </c>
      <c r="J13" s="2">
        <v>-30</v>
      </c>
      <c r="K13" s="2">
        <v>23.302</v>
      </c>
    </row>
    <row r="14" spans="1:14">
      <c r="A14" s="4">
        <v>30</v>
      </c>
      <c r="B14" s="5">
        <f t="shared" si="0"/>
        <v>1677</v>
      </c>
      <c r="C14">
        <f t="shared" si="1"/>
        <v>4.9860260450734373</v>
      </c>
      <c r="D14" s="7">
        <f t="shared" si="2"/>
        <v>1020.1409288220252</v>
      </c>
      <c r="E14" s="4">
        <f t="shared" si="3"/>
        <v>16322</v>
      </c>
      <c r="J14" s="2">
        <v>-25</v>
      </c>
      <c r="K14" s="2">
        <v>16.77</v>
      </c>
    </row>
    <row r="15" spans="1:14">
      <c r="A15" s="4">
        <v>35</v>
      </c>
      <c r="B15" s="5">
        <f t="shared" si="0"/>
        <v>1218.5999999999999</v>
      </c>
      <c r="C15">
        <f t="shared" si="1"/>
        <v>4.9807896672933873</v>
      </c>
      <c r="D15" s="7">
        <f t="shared" si="2"/>
        <v>1019.069565928227</v>
      </c>
      <c r="E15" s="4">
        <f t="shared" si="3"/>
        <v>16305</v>
      </c>
      <c r="J15" s="2">
        <v>-20</v>
      </c>
      <c r="K15" s="2">
        <v>12.186</v>
      </c>
    </row>
    <row r="16" spans="1:14">
      <c r="A16" s="4">
        <v>40</v>
      </c>
      <c r="B16" s="5">
        <f t="shared" si="0"/>
        <v>893.69999999999993</v>
      </c>
      <c r="C16">
        <f t="shared" si="1"/>
        <v>4.9738423864648267</v>
      </c>
      <c r="D16" s="7">
        <f t="shared" si="2"/>
        <v>1017.6481522707036</v>
      </c>
      <c r="E16" s="4">
        <f t="shared" si="3"/>
        <v>16282</v>
      </c>
      <c r="J16" s="2">
        <v>-15</v>
      </c>
      <c r="K16" s="2">
        <v>8.9369999999999994</v>
      </c>
    </row>
    <row r="17" spans="1:11">
      <c r="A17" s="4">
        <v>45</v>
      </c>
      <c r="B17" s="5">
        <f t="shared" si="0"/>
        <v>661.25</v>
      </c>
      <c r="C17">
        <f t="shared" si="1"/>
        <v>4.9647120654703807</v>
      </c>
      <c r="D17" s="7">
        <f t="shared" si="2"/>
        <v>1015.7800885952399</v>
      </c>
      <c r="E17" s="4">
        <f t="shared" si="3"/>
        <v>16252</v>
      </c>
      <c r="J17" s="2">
        <v>-10</v>
      </c>
      <c r="K17" s="2">
        <v>6.6124999999999998</v>
      </c>
    </row>
    <row r="18" spans="1:11">
      <c r="A18" s="4">
        <v>50</v>
      </c>
      <c r="B18" s="5">
        <f t="shared" si="0"/>
        <v>493.41999999999996</v>
      </c>
      <c r="C18">
        <f t="shared" si="1"/>
        <v>4.9528226130249742</v>
      </c>
      <c r="D18" s="7">
        <f t="shared" si="2"/>
        <v>1013.3475066249097</v>
      </c>
      <c r="E18" s="4">
        <f t="shared" si="3"/>
        <v>16214</v>
      </c>
      <c r="J18" s="2">
        <v>-5</v>
      </c>
      <c r="K18" s="2">
        <v>4.9341999999999997</v>
      </c>
    </row>
    <row r="19" spans="1:11">
      <c r="A19" s="4">
        <v>55</v>
      </c>
      <c r="B19" s="5">
        <f t="shared" si="0"/>
        <v>371.20000000000005</v>
      </c>
      <c r="C19">
        <f t="shared" si="1"/>
        <v>4.9374833732375629</v>
      </c>
      <c r="D19" s="7">
        <f t="shared" si="2"/>
        <v>1010.2090981644053</v>
      </c>
      <c r="E19" s="4">
        <f t="shared" si="3"/>
        <v>16163</v>
      </c>
      <c r="J19" s="2">
        <v>0</v>
      </c>
      <c r="K19" s="2">
        <v>3.7120000000000002</v>
      </c>
    </row>
    <row r="20" spans="1:11">
      <c r="A20" s="4">
        <v>60</v>
      </c>
      <c r="B20" s="5">
        <f t="shared" si="0"/>
        <v>281.45</v>
      </c>
      <c r="C20">
        <f t="shared" si="1"/>
        <v>4.9178752402586063</v>
      </c>
      <c r="D20" s="7">
        <f t="shared" si="2"/>
        <v>1006.1972741569108</v>
      </c>
      <c r="E20" s="4">
        <f t="shared" si="3"/>
        <v>16099</v>
      </c>
      <c r="J20" s="2">
        <v>5</v>
      </c>
      <c r="K20" s="2">
        <v>2.8144999999999998</v>
      </c>
    </row>
    <row r="21" spans="1:11">
      <c r="A21" s="4">
        <v>65</v>
      </c>
      <c r="B21" s="5">
        <f t="shared" si="0"/>
        <v>215</v>
      </c>
      <c r="C21">
        <f t="shared" si="1"/>
        <v>4.8930359581247158</v>
      </c>
      <c r="D21" s="7">
        <f t="shared" si="2"/>
        <v>1001.1151570323168</v>
      </c>
      <c r="E21" s="4">
        <f t="shared" si="3"/>
        <v>16018</v>
      </c>
      <c r="J21" s="2">
        <v>10</v>
      </c>
      <c r="K21" s="2">
        <v>2.15</v>
      </c>
    </row>
    <row r="22" spans="1:11">
      <c r="A22" s="4">
        <v>70</v>
      </c>
      <c r="B22" s="5">
        <f t="shared" si="0"/>
        <v>165.44</v>
      </c>
      <c r="C22">
        <f t="shared" si="1"/>
        <v>4.8618784530386749</v>
      </c>
      <c r="D22" s="7">
        <f t="shared" si="2"/>
        <v>994.74033149171294</v>
      </c>
      <c r="E22" s="4">
        <f t="shared" si="3"/>
        <v>15916</v>
      </c>
      <c r="J22" s="2">
        <v>15</v>
      </c>
      <c r="K22" s="2">
        <v>1.6544000000000001</v>
      </c>
    </row>
    <row r="23" spans="1:11">
      <c r="A23" s="4">
        <v>75</v>
      </c>
      <c r="B23" s="5">
        <f t="shared" si="0"/>
        <v>128.19</v>
      </c>
      <c r="C23">
        <f t="shared" si="1"/>
        <v>4.8231620136955389</v>
      </c>
      <c r="D23" s="7">
        <f t="shared" si="2"/>
        <v>986.81894800210728</v>
      </c>
      <c r="E23" s="4">
        <f t="shared" si="3"/>
        <v>15789</v>
      </c>
      <c r="J23" s="2">
        <v>20</v>
      </c>
      <c r="K23" s="2">
        <v>1.2819</v>
      </c>
    </row>
    <row r="24" spans="1:11">
      <c r="A24" s="4">
        <v>80</v>
      </c>
      <c r="B24" s="5">
        <f t="shared" si="0"/>
        <v>100</v>
      </c>
      <c r="C24">
        <f t="shared" si="1"/>
        <v>4.7755491881566376</v>
      </c>
      <c r="D24" s="7">
        <f t="shared" si="2"/>
        <v>977.07736389684806</v>
      </c>
      <c r="E24" s="4">
        <f t="shared" si="3"/>
        <v>15633</v>
      </c>
      <c r="J24" s="2">
        <v>25</v>
      </c>
      <c r="K24" s="2">
        <v>1</v>
      </c>
    </row>
    <row r="25" spans="1:11">
      <c r="A25" s="4">
        <v>85</v>
      </c>
      <c r="B25" s="5">
        <f t="shared" si="0"/>
        <v>78.513999999999996</v>
      </c>
      <c r="C25">
        <f t="shared" si="1"/>
        <v>4.7175955968947534</v>
      </c>
      <c r="D25" s="7">
        <f t="shared" si="2"/>
        <v>965.22005912466659</v>
      </c>
      <c r="E25" s="4">
        <f t="shared" si="3"/>
        <v>15444</v>
      </c>
      <c r="J25" s="2">
        <v>30</v>
      </c>
      <c r="K25" s="2">
        <v>0.78513999999999995</v>
      </c>
    </row>
    <row r="26" spans="1:11">
      <c r="A26" s="4">
        <v>90</v>
      </c>
      <c r="B26" s="5">
        <f t="shared" si="0"/>
        <v>62.031000000000006</v>
      </c>
      <c r="C26">
        <f t="shared" si="1"/>
        <v>4.6478398345596501</v>
      </c>
      <c r="D26" s="7">
        <f t="shared" si="2"/>
        <v>950.9480301509044</v>
      </c>
      <c r="E26" s="4">
        <f t="shared" si="3"/>
        <v>15215</v>
      </c>
      <c r="J26" s="2">
        <v>35</v>
      </c>
      <c r="K26" s="2">
        <v>0.62031000000000003</v>
      </c>
    </row>
    <row r="27" spans="1:11">
      <c r="A27" s="4">
        <v>95</v>
      </c>
      <c r="B27" s="5">
        <f t="shared" si="0"/>
        <v>49.303999999999995</v>
      </c>
      <c r="C27">
        <f t="shared" si="1"/>
        <v>4.5648470483667873</v>
      </c>
      <c r="D27" s="7">
        <f t="shared" si="2"/>
        <v>933.96770609584473</v>
      </c>
      <c r="E27" s="4">
        <f t="shared" si="3"/>
        <v>14943</v>
      </c>
      <c r="J27" s="2">
        <v>40</v>
      </c>
      <c r="K27" s="2">
        <v>0.49303999999999998</v>
      </c>
    </row>
    <row r="28" spans="1:11">
      <c r="A28" s="4">
        <v>100</v>
      </c>
      <c r="B28" s="5">
        <f t="shared" si="0"/>
        <v>39.417000000000002</v>
      </c>
      <c r="C28">
        <f t="shared" si="1"/>
        <v>4.4673255207743043</v>
      </c>
      <c r="D28" s="7">
        <f t="shared" si="2"/>
        <v>914.0148015504227</v>
      </c>
      <c r="E28" s="4">
        <f t="shared" si="3"/>
        <v>14624</v>
      </c>
      <c r="J28" s="2">
        <v>45</v>
      </c>
      <c r="K28" s="2">
        <v>0.39417000000000002</v>
      </c>
    </row>
    <row r="29" spans="1:11">
      <c r="A29" s="4">
        <v>105</v>
      </c>
      <c r="B29" s="5">
        <f t="shared" si="0"/>
        <v>31.69</v>
      </c>
      <c r="C29">
        <f t="shared" si="1"/>
        <v>4.3542181918109373</v>
      </c>
      <c r="D29" s="7">
        <f t="shared" si="2"/>
        <v>890.87304204451777</v>
      </c>
      <c r="E29" s="4">
        <f t="shared" si="3"/>
        <v>14254</v>
      </c>
      <c r="J29" s="2">
        <v>50</v>
      </c>
      <c r="K29" s="2">
        <v>0.31690000000000002</v>
      </c>
    </row>
    <row r="30" spans="1:11">
      <c r="A30" s="4">
        <v>110</v>
      </c>
      <c r="B30" s="5">
        <f t="shared" si="0"/>
        <v>25.616</v>
      </c>
      <c r="C30">
        <f t="shared" si="1"/>
        <v>4.2248317720015827</v>
      </c>
      <c r="D30" s="7">
        <f t="shared" si="2"/>
        <v>864.40058055152383</v>
      </c>
      <c r="E30" s="4">
        <f t="shared" si="3"/>
        <v>13830</v>
      </c>
      <c r="J30" s="2">
        <v>55</v>
      </c>
      <c r="K30" s="2">
        <v>0.25616</v>
      </c>
    </row>
    <row r="31" spans="1:11">
      <c r="A31" s="4">
        <v>115</v>
      </c>
      <c r="B31" s="5">
        <f t="shared" si="0"/>
        <v>20.815000000000001</v>
      </c>
      <c r="C31">
        <f t="shared" si="1"/>
        <v>4.0789731530472269</v>
      </c>
      <c r="D31" s="7">
        <f t="shared" si="2"/>
        <v>834.55790711346265</v>
      </c>
      <c r="E31" s="4">
        <f t="shared" si="3"/>
        <v>13353</v>
      </c>
      <c r="J31" s="2">
        <v>60</v>
      </c>
      <c r="K31" s="2">
        <v>0.20815</v>
      </c>
    </row>
    <row r="32" spans="1:11">
      <c r="A32" s="4">
        <v>120</v>
      </c>
      <c r="B32" s="5">
        <f t="shared" si="0"/>
        <v>17</v>
      </c>
      <c r="C32">
        <f t="shared" si="1"/>
        <v>3.9170506912442398</v>
      </c>
      <c r="D32" s="7">
        <f t="shared" si="2"/>
        <v>801.42857142857144</v>
      </c>
      <c r="E32" s="4">
        <f t="shared" si="3"/>
        <v>12823</v>
      </c>
      <c r="J32" s="2">
        <v>65</v>
      </c>
      <c r="K32" s="2">
        <v>0.17</v>
      </c>
    </row>
    <row r="33" spans="1:11">
      <c r="A33" s="4">
        <v>125</v>
      </c>
      <c r="B33" s="5">
        <f t="shared" si="0"/>
        <v>13.952</v>
      </c>
      <c r="C33">
        <f t="shared" si="1"/>
        <v>3.7400814926013295</v>
      </c>
      <c r="D33" s="7">
        <f t="shared" si="2"/>
        <v>765.22067338623197</v>
      </c>
      <c r="E33" s="4">
        <f t="shared" si="3"/>
        <v>12244</v>
      </c>
      <c r="J33" s="2">
        <v>70</v>
      </c>
      <c r="K33" s="2">
        <v>0.13952000000000001</v>
      </c>
    </row>
    <row r="34" spans="1:11">
      <c r="A34" s="4">
        <v>130</v>
      </c>
      <c r="B34" s="5">
        <f t="shared" si="0"/>
        <v>11.505000000000001</v>
      </c>
      <c r="C34">
        <f t="shared" si="1"/>
        <v>3.5498302992903423</v>
      </c>
      <c r="D34" s="7">
        <f t="shared" si="2"/>
        <v>726.29527923480407</v>
      </c>
      <c r="E34" s="4">
        <f t="shared" si="3"/>
        <v>11621</v>
      </c>
      <c r="J34" s="2">
        <v>75</v>
      </c>
      <c r="K34" s="2">
        <v>0.11505</v>
      </c>
    </row>
    <row r="35" spans="1:11">
      <c r="A35" s="4">
        <v>135</v>
      </c>
      <c r="B35" s="5">
        <f t="shared" si="0"/>
        <v>9.5302000000000007</v>
      </c>
      <c r="C35">
        <f t="shared" si="1"/>
        <v>3.3485825919523271</v>
      </c>
      <c r="D35" s="7">
        <f t="shared" si="2"/>
        <v>685.1199983134461</v>
      </c>
      <c r="E35" s="4">
        <f t="shared" si="3"/>
        <v>10962</v>
      </c>
      <c r="J35" s="2">
        <v>80</v>
      </c>
      <c r="K35" s="2">
        <v>9.5301999999999998E-2</v>
      </c>
    </row>
    <row r="36" spans="1:11">
      <c r="A36" s="4">
        <v>140</v>
      </c>
      <c r="B36" s="5">
        <f t="shared" si="0"/>
        <v>7.9296000000000006</v>
      </c>
      <c r="C36">
        <f t="shared" si="1"/>
        <v>3.1392918223855073</v>
      </c>
      <c r="D36" s="7">
        <f t="shared" si="2"/>
        <v>642.29910686007474</v>
      </c>
      <c r="E36" s="4">
        <f t="shared" si="3"/>
        <v>10277</v>
      </c>
      <c r="J36" s="2">
        <v>85</v>
      </c>
      <c r="K36" s="2">
        <v>7.9296000000000005E-2</v>
      </c>
    </row>
    <row r="37" spans="1:11">
      <c r="A37" s="4">
        <v>145</v>
      </c>
      <c r="B37" s="5">
        <f t="shared" si="0"/>
        <v>6.6263000000000005</v>
      </c>
      <c r="C37">
        <f t="shared" si="1"/>
        <v>2.925182981203041</v>
      </c>
      <c r="D37" s="7">
        <f t="shared" si="2"/>
        <v>598.49243795414225</v>
      </c>
      <c r="E37" s="4">
        <f t="shared" si="3"/>
        <v>9576</v>
      </c>
      <c r="J37" s="2">
        <v>90</v>
      </c>
      <c r="K37" s="2">
        <v>6.6263000000000002E-2</v>
      </c>
    </row>
    <row r="38" spans="1:11">
      <c r="A38" s="4">
        <v>150</v>
      </c>
      <c r="B38" s="5">
        <f t="shared" si="0"/>
        <v>5.5600999999999994</v>
      </c>
      <c r="C38">
        <f t="shared" si="1"/>
        <v>2.7095739807604211</v>
      </c>
      <c r="D38" s="7">
        <f t="shared" si="2"/>
        <v>554.37883646358216</v>
      </c>
      <c r="E38" s="4">
        <f t="shared" si="3"/>
        <v>8870</v>
      </c>
      <c r="J38" s="2">
        <v>95</v>
      </c>
      <c r="K38" s="2">
        <v>5.5600999999999998E-2</v>
      </c>
    </row>
    <row r="39" spans="1:11">
      <c r="A39" s="4">
        <v>155</v>
      </c>
      <c r="B39" s="5">
        <f t="shared" si="0"/>
        <v>4.6843000000000004</v>
      </c>
      <c r="C39">
        <f t="shared" si="1"/>
        <v>2.4958174823908021</v>
      </c>
      <c r="D39" s="7">
        <f t="shared" si="2"/>
        <v>510.64425689715813</v>
      </c>
      <c r="E39" s="4">
        <f t="shared" si="3"/>
        <v>8170</v>
      </c>
      <c r="J39" s="2">
        <v>100</v>
      </c>
      <c r="K39" s="2">
        <v>4.6843000000000003E-2</v>
      </c>
    </row>
    <row r="40" spans="1:11">
      <c r="A40" s="4">
        <v>160</v>
      </c>
      <c r="B40" s="5">
        <f t="shared" si="0"/>
        <v>3.9618000000000002</v>
      </c>
      <c r="C40">
        <f t="shared" si="1"/>
        <v>2.2869380498279805</v>
      </c>
      <c r="D40" s="7">
        <f t="shared" si="2"/>
        <v>467.90752499480482</v>
      </c>
      <c r="E40" s="4">
        <f t="shared" si="3"/>
        <v>7487</v>
      </c>
      <c r="J40" s="2">
        <v>105</v>
      </c>
      <c r="K40" s="2">
        <v>3.9618E-2</v>
      </c>
    </row>
    <row r="41" spans="1:11">
      <c r="A41" s="4">
        <v>165</v>
      </c>
      <c r="B41" s="5">
        <f t="shared" si="0"/>
        <v>3.3633999999999995</v>
      </c>
      <c r="C41">
        <f t="shared" si="1"/>
        <v>2.0855966465758859</v>
      </c>
      <c r="D41" s="7">
        <f t="shared" si="2"/>
        <v>426.71307388942625</v>
      </c>
      <c r="E41" s="4">
        <f t="shared" si="3"/>
        <v>6827</v>
      </c>
      <c r="J41" s="2">
        <v>110</v>
      </c>
      <c r="K41" s="2">
        <v>3.3633999999999997E-2</v>
      </c>
    </row>
    <row r="42" spans="1:11">
      <c r="A42" s="4">
        <v>170</v>
      </c>
      <c r="B42" s="5">
        <f t="shared" si="0"/>
        <v>2.8658000000000001</v>
      </c>
      <c r="C42">
        <f t="shared" si="1"/>
        <v>1.8939173649845358</v>
      </c>
      <c r="D42" s="7">
        <f t="shared" si="2"/>
        <v>387.49549287583602</v>
      </c>
      <c r="E42" s="4">
        <f t="shared" si="3"/>
        <v>6200</v>
      </c>
      <c r="J42" s="2">
        <v>115</v>
      </c>
      <c r="K42" s="2">
        <v>2.8657999999999999E-2</v>
      </c>
    </row>
    <row r="43" spans="1:11">
      <c r="A43" s="4">
        <v>175</v>
      </c>
      <c r="B43" s="5">
        <f t="shared" si="0"/>
        <v>2.4504999999999999</v>
      </c>
      <c r="C43">
        <f t="shared" si="1"/>
        <v>1.7135165373050836</v>
      </c>
      <c r="D43" s="7">
        <f t="shared" si="2"/>
        <v>350.58548353262012</v>
      </c>
      <c r="E43" s="4">
        <f t="shared" si="3"/>
        <v>5609</v>
      </c>
      <c r="J43" s="2">
        <v>120</v>
      </c>
      <c r="K43" s="2">
        <v>2.4504999999999999E-2</v>
      </c>
    </row>
    <row r="44" spans="1:11">
      <c r="A44" s="4">
        <v>180</v>
      </c>
      <c r="B44" s="5">
        <f t="shared" si="0"/>
        <v>2.1025999999999998</v>
      </c>
      <c r="C44">
        <f t="shared" si="1"/>
        <v>1.5454385088054565</v>
      </c>
      <c r="D44" s="7">
        <f t="shared" si="2"/>
        <v>316.1967189015964</v>
      </c>
      <c r="E44" s="4">
        <f t="shared" si="3"/>
        <v>5059</v>
      </c>
      <c r="J44" s="2">
        <v>125</v>
      </c>
      <c r="K44" s="2">
        <v>2.1026E-2</v>
      </c>
    </row>
    <row r="45" spans="1:11">
      <c r="A45" s="4">
        <v>185</v>
      </c>
      <c r="B45" s="5">
        <f t="shared" si="0"/>
        <v>1.8100999999999998</v>
      </c>
      <c r="C45">
        <f t="shared" si="1"/>
        <v>1.3902244205158139</v>
      </c>
      <c r="D45" s="7">
        <f t="shared" si="2"/>
        <v>284.43991643753549</v>
      </c>
      <c r="E45" s="4">
        <f t="shared" si="3"/>
        <v>4551</v>
      </c>
      <c r="J45" s="2">
        <v>130</v>
      </c>
      <c r="K45" s="2">
        <v>1.8100999999999999E-2</v>
      </c>
    </row>
    <row r="46" spans="1:11">
      <c r="A46" s="4">
        <v>190</v>
      </c>
      <c r="B46" s="5">
        <f t="shared" si="0"/>
        <v>1.5633000000000001</v>
      </c>
      <c r="C46">
        <f t="shared" si="1"/>
        <v>1.2479842894320885</v>
      </c>
      <c r="D46" s="7">
        <f t="shared" si="2"/>
        <v>255.3375856178053</v>
      </c>
      <c r="E46" s="4">
        <f t="shared" si="3"/>
        <v>4085</v>
      </c>
      <c r="J46" s="2">
        <v>135</v>
      </c>
      <c r="K46" s="2">
        <v>1.5633000000000001E-2</v>
      </c>
    </row>
    <row r="47" spans="1:11">
      <c r="A47" s="4">
        <v>195</v>
      </c>
      <c r="B47" s="5">
        <f t="shared" si="0"/>
        <v>1.3544</v>
      </c>
      <c r="C47">
        <f t="shared" si="1"/>
        <v>1.1185253699788584</v>
      </c>
      <c r="D47" s="7">
        <f t="shared" si="2"/>
        <v>228.85029069767444</v>
      </c>
      <c r="E47" s="4">
        <f t="shared" si="3"/>
        <v>3662</v>
      </c>
      <c r="J47" s="2">
        <v>140</v>
      </c>
      <c r="K47" s="2">
        <v>1.3544E-2</v>
      </c>
    </row>
    <row r="48" spans="1:11">
      <c r="A48" s="4">
        <v>200</v>
      </c>
      <c r="B48" s="5">
        <f t="shared" si="0"/>
        <v>1.1769000000000001</v>
      </c>
      <c r="C48">
        <f t="shared" si="1"/>
        <v>1.0012931987952833</v>
      </c>
      <c r="D48" s="7">
        <f t="shared" si="2"/>
        <v>204.86458847351497</v>
      </c>
      <c r="E48" s="4">
        <f t="shared" si="3"/>
        <v>3278</v>
      </c>
      <c r="J48" s="2">
        <v>145</v>
      </c>
      <c r="K48" s="2">
        <v>1.1769E-2</v>
      </c>
    </row>
    <row r="49" spans="1:11">
      <c r="A49" s="4">
        <v>205</v>
      </c>
      <c r="B49" s="5">
        <f t="shared" si="0"/>
        <v>1.0258</v>
      </c>
      <c r="C49">
        <f t="shared" si="1"/>
        <v>0.89577002340284329</v>
      </c>
      <c r="D49" s="7">
        <f t="shared" si="2"/>
        <v>183.27454678822176</v>
      </c>
      <c r="E49" s="4">
        <f t="shared" si="3"/>
        <v>2932</v>
      </c>
      <c r="J49" s="2">
        <v>150</v>
      </c>
      <c r="K49" s="2">
        <v>1.0258E-2</v>
      </c>
    </row>
    <row r="50" spans="1:11">
      <c r="A50" s="4">
        <v>210</v>
      </c>
      <c r="B50" s="5">
        <f t="shared" si="0"/>
        <v>0.89659000000000011</v>
      </c>
      <c r="C50">
        <f t="shared" si="1"/>
        <v>0.80101454635769298</v>
      </c>
      <c r="D50" s="7">
        <f t="shared" si="2"/>
        <v>163.887576184784</v>
      </c>
      <c r="E50" s="4">
        <f t="shared" si="3"/>
        <v>2622</v>
      </c>
      <c r="J50" s="2">
        <v>155</v>
      </c>
      <c r="K50" s="2">
        <v>8.9659000000000006E-3</v>
      </c>
    </row>
    <row r="51" spans="1:11">
      <c r="A51" s="4">
        <v>215</v>
      </c>
      <c r="B51" s="5">
        <f t="shared" si="0"/>
        <v>0.89659000000000011</v>
      </c>
      <c r="C51">
        <f t="shared" si="1"/>
        <v>0.80101454635769298</v>
      </c>
      <c r="D51" s="7">
        <f t="shared" si="2"/>
        <v>163.887576184784</v>
      </c>
      <c r="E51" s="4">
        <f t="shared" si="3"/>
        <v>2622</v>
      </c>
      <c r="J51" s="2">
        <v>160</v>
      </c>
      <c r="K51" s="2">
        <v>8.9659000000000006E-3</v>
      </c>
    </row>
    <row r="52" spans="1:11">
      <c r="A52" s="4">
        <v>220</v>
      </c>
      <c r="B52" s="5">
        <f t="shared" si="0"/>
        <v>0.89659000000000011</v>
      </c>
      <c r="C52">
        <f t="shared" si="1"/>
        <v>0.80101454635769298</v>
      </c>
      <c r="D52" s="7">
        <f t="shared" si="2"/>
        <v>163.887576184784</v>
      </c>
      <c r="E52" s="4">
        <f t="shared" si="3"/>
        <v>2622</v>
      </c>
      <c r="J52" s="2">
        <v>165</v>
      </c>
      <c r="K52" s="2">
        <v>8.9659000000000006E-3</v>
      </c>
    </row>
    <row r="53" spans="1:11">
      <c r="A53" s="4">
        <v>225</v>
      </c>
      <c r="B53" s="5">
        <f t="shared" si="0"/>
        <v>0.89659000000000011</v>
      </c>
      <c r="C53">
        <f t="shared" si="1"/>
        <v>0.80101454635769298</v>
      </c>
      <c r="D53" s="7">
        <f t="shared" si="2"/>
        <v>163.887576184784</v>
      </c>
      <c r="E53" s="4">
        <f t="shared" si="3"/>
        <v>2622</v>
      </c>
      <c r="J53" s="2">
        <v>170</v>
      </c>
      <c r="K53" s="2">
        <v>8.9659000000000006E-3</v>
      </c>
    </row>
    <row r="54" spans="1:11">
      <c r="A54" s="4">
        <v>230</v>
      </c>
      <c r="B54" s="5">
        <f t="shared" si="0"/>
        <v>0.89659000000000011</v>
      </c>
      <c r="C54">
        <f t="shared" si="1"/>
        <v>0.80101454635769298</v>
      </c>
      <c r="D54" s="7">
        <f t="shared" si="2"/>
        <v>163.887576184784</v>
      </c>
      <c r="E54" s="4">
        <f t="shared" si="3"/>
        <v>2622</v>
      </c>
      <c r="J54" s="2">
        <v>175</v>
      </c>
      <c r="K54" s="2">
        <v>8.9659000000000006E-3</v>
      </c>
    </row>
    <row r="55" spans="1:11">
      <c r="A55" s="4">
        <v>235</v>
      </c>
      <c r="B55" s="5">
        <f t="shared" si="0"/>
        <v>0.89659000000000011</v>
      </c>
      <c r="C55">
        <f t="shared" si="1"/>
        <v>0.80101454635769298</v>
      </c>
      <c r="D55" s="7">
        <f t="shared" si="2"/>
        <v>163.887576184784</v>
      </c>
      <c r="E55" s="4">
        <f t="shared" si="3"/>
        <v>2622</v>
      </c>
      <c r="J55" s="2">
        <v>180</v>
      </c>
      <c r="K55" s="2">
        <v>8.9659000000000006E-3</v>
      </c>
    </row>
    <row r="56" spans="1:11">
      <c r="A56" s="4">
        <v>240</v>
      </c>
      <c r="B56" s="5">
        <f t="shared" si="0"/>
        <v>0.89659000000000011</v>
      </c>
      <c r="C56">
        <f t="shared" si="1"/>
        <v>0.80101454635769298</v>
      </c>
      <c r="D56" s="7">
        <f t="shared" si="2"/>
        <v>163.887576184784</v>
      </c>
      <c r="E56" s="4">
        <f t="shared" si="3"/>
        <v>2622</v>
      </c>
      <c r="J56" s="2">
        <v>185</v>
      </c>
      <c r="K56" s="2">
        <v>8.9659000000000006E-3</v>
      </c>
    </row>
    <row r="57" spans="1:11">
      <c r="A57" s="4">
        <v>245</v>
      </c>
      <c r="B57" s="5">
        <f t="shared" si="0"/>
        <v>0.89659000000000011</v>
      </c>
      <c r="C57">
        <f t="shared" si="1"/>
        <v>0.80101454635769298</v>
      </c>
      <c r="D57" s="7">
        <f t="shared" si="2"/>
        <v>163.887576184784</v>
      </c>
      <c r="E57" s="4">
        <f t="shared" si="3"/>
        <v>2622</v>
      </c>
      <c r="J57" s="2">
        <v>190</v>
      </c>
      <c r="K57" s="2">
        <v>8.9659000000000006E-3</v>
      </c>
    </row>
    <row r="58" spans="1:11">
      <c r="A58" s="4">
        <v>250</v>
      </c>
      <c r="B58" s="5">
        <f t="shared" si="0"/>
        <v>0.89659000000000011</v>
      </c>
      <c r="C58">
        <f t="shared" si="1"/>
        <v>0.80101454635769298</v>
      </c>
      <c r="D58" s="7">
        <f t="shared" si="2"/>
        <v>163.887576184784</v>
      </c>
      <c r="E58" s="4">
        <f t="shared" si="3"/>
        <v>2622</v>
      </c>
      <c r="J58" s="2">
        <v>195</v>
      </c>
      <c r="K58" s="2">
        <v>8.9659000000000006E-3</v>
      </c>
    </row>
    <row r="59" spans="1:11">
      <c r="A59" s="4">
        <v>255</v>
      </c>
      <c r="B59" s="5">
        <f t="shared" si="0"/>
        <v>0.89659000000000011</v>
      </c>
      <c r="C59">
        <f t="shared" si="1"/>
        <v>0.80101454635769298</v>
      </c>
      <c r="D59" s="7">
        <f t="shared" si="2"/>
        <v>163.887576184784</v>
      </c>
      <c r="E59" s="4">
        <f t="shared" si="3"/>
        <v>2622</v>
      </c>
      <c r="J59" s="2">
        <v>200</v>
      </c>
      <c r="K59" s="2">
        <v>8.9659000000000006E-3</v>
      </c>
    </row>
    <row r="60" spans="1:11">
      <c r="A60" s="4">
        <v>260</v>
      </c>
      <c r="B60" s="5">
        <f t="shared" si="0"/>
        <v>0.89659000000000011</v>
      </c>
      <c r="C60">
        <f t="shared" si="1"/>
        <v>0.80101454635769298</v>
      </c>
      <c r="D60" s="7">
        <f t="shared" si="2"/>
        <v>163.887576184784</v>
      </c>
      <c r="E60" s="4">
        <f t="shared" si="3"/>
        <v>2622</v>
      </c>
      <c r="J60" s="2">
        <v>215</v>
      </c>
      <c r="K60" s="2">
        <v>8.9659000000000006E-3</v>
      </c>
    </row>
    <row r="61" spans="1:11">
      <c r="A61" s="4">
        <v>265</v>
      </c>
      <c r="B61" s="5">
        <f t="shared" si="0"/>
        <v>0.89659000000000011</v>
      </c>
      <c r="C61">
        <f t="shared" si="1"/>
        <v>0.80101454635769298</v>
      </c>
      <c r="D61" s="7">
        <f t="shared" si="2"/>
        <v>163.887576184784</v>
      </c>
      <c r="E61" s="4">
        <f t="shared" si="3"/>
        <v>2622</v>
      </c>
      <c r="J61" s="2">
        <v>220</v>
      </c>
      <c r="K61" s="2">
        <v>8.9659000000000006E-3</v>
      </c>
    </row>
    <row r="62" spans="1:11">
      <c r="A62" s="4">
        <v>270</v>
      </c>
      <c r="B62" s="5">
        <f t="shared" si="0"/>
        <v>0.89659000000000011</v>
      </c>
      <c r="C62">
        <f t="shared" si="1"/>
        <v>0.80101454635769298</v>
      </c>
      <c r="D62" s="7">
        <f t="shared" si="2"/>
        <v>163.887576184784</v>
      </c>
      <c r="E62" s="4">
        <f t="shared" si="3"/>
        <v>2622</v>
      </c>
      <c r="J62" s="2">
        <v>225</v>
      </c>
      <c r="K62" s="2">
        <v>8.9659000000000006E-3</v>
      </c>
    </row>
    <row r="63" spans="1:11">
      <c r="A63" s="4">
        <v>275</v>
      </c>
      <c r="B63" s="5">
        <f t="shared" si="0"/>
        <v>0.89659000000000011</v>
      </c>
      <c r="C63">
        <f t="shared" si="1"/>
        <v>0.80101454635769298</v>
      </c>
      <c r="D63" s="7">
        <f t="shared" si="2"/>
        <v>163.887576184784</v>
      </c>
      <c r="E63" s="4">
        <f t="shared" si="3"/>
        <v>2622</v>
      </c>
      <c r="J63" s="2">
        <v>230</v>
      </c>
      <c r="K63" s="2">
        <v>8.9659000000000006E-3</v>
      </c>
    </row>
    <row r="64" spans="1:11">
      <c r="A64" s="4">
        <v>280</v>
      </c>
      <c r="B64" s="5">
        <f t="shared" si="0"/>
        <v>0.89659000000000011</v>
      </c>
      <c r="C64">
        <f t="shared" si="1"/>
        <v>0.80101454635769298</v>
      </c>
      <c r="D64" s="7">
        <f t="shared" si="2"/>
        <v>163.887576184784</v>
      </c>
      <c r="E64" s="4">
        <f t="shared" si="3"/>
        <v>2622</v>
      </c>
      <c r="J64" s="2">
        <v>235</v>
      </c>
      <c r="K64" s="2">
        <v>8.9659000000000006E-3</v>
      </c>
    </row>
    <row r="65" spans="1:11">
      <c r="A65" s="4">
        <v>285</v>
      </c>
      <c r="B65" s="5">
        <f t="shared" si="0"/>
        <v>0.89659000000000011</v>
      </c>
      <c r="C65">
        <f t="shared" si="1"/>
        <v>0.80101454635769298</v>
      </c>
      <c r="D65" s="7">
        <f t="shared" si="2"/>
        <v>163.887576184784</v>
      </c>
      <c r="E65" s="4">
        <f t="shared" si="3"/>
        <v>2622</v>
      </c>
      <c r="J65" s="2">
        <v>240</v>
      </c>
      <c r="K65" s="2">
        <v>8.9659000000000006E-3</v>
      </c>
    </row>
    <row r="66" spans="1:11">
      <c r="A66" s="4">
        <v>290</v>
      </c>
      <c r="B66" s="5">
        <f t="shared" si="0"/>
        <v>0.89659000000000011</v>
      </c>
      <c r="C66">
        <f t="shared" si="1"/>
        <v>0.80101454635769298</v>
      </c>
      <c r="D66" s="7">
        <f t="shared" si="2"/>
        <v>163.887576184784</v>
      </c>
      <c r="E66" s="4">
        <f t="shared" si="3"/>
        <v>2622</v>
      </c>
      <c r="J66" s="2">
        <v>245</v>
      </c>
      <c r="K66" s="2">
        <v>8.9659000000000006E-3</v>
      </c>
    </row>
    <row r="67" spans="1:11">
      <c r="A67" s="4">
        <v>295</v>
      </c>
      <c r="B67" s="5">
        <f t="shared" si="0"/>
        <v>0.89659000000000011</v>
      </c>
      <c r="C67">
        <f t="shared" si="1"/>
        <v>0.80101454635769298</v>
      </c>
      <c r="D67" s="7">
        <f t="shared" si="2"/>
        <v>163.887576184784</v>
      </c>
      <c r="E67" s="4">
        <f t="shared" si="3"/>
        <v>2622</v>
      </c>
      <c r="J67" s="2">
        <v>250</v>
      </c>
      <c r="K67" s="2">
        <v>8.9659000000000006E-3</v>
      </c>
    </row>
    <row r="68" spans="1:11">
      <c r="A68" s="4">
        <v>300</v>
      </c>
      <c r="B68" s="5">
        <f t="shared" si="0"/>
        <v>0.89659000000000011</v>
      </c>
      <c r="C68">
        <f t="shared" si="1"/>
        <v>0.80101454635769298</v>
      </c>
      <c r="D68" s="7">
        <f t="shared" si="2"/>
        <v>163.887576184784</v>
      </c>
      <c r="E68" s="4">
        <f t="shared" si="3"/>
        <v>2622</v>
      </c>
      <c r="J68" s="2">
        <v>255</v>
      </c>
      <c r="K68" s="2">
        <v>8.9659000000000006E-3</v>
      </c>
    </row>
    <row r="69" spans="1:11">
      <c r="J69" s="2">
        <v>260</v>
      </c>
      <c r="K69" s="2">
        <v>8.9659000000000006E-3</v>
      </c>
    </row>
    <row r="70" spans="1:11">
      <c r="J70" s="2">
        <v>265</v>
      </c>
      <c r="K70" s="2">
        <v>8.9659000000000006E-3</v>
      </c>
    </row>
    <row r="71" spans="1:11">
      <c r="J71" s="2">
        <v>270</v>
      </c>
      <c r="K71" s="2">
        <v>8.9659000000000006E-3</v>
      </c>
    </row>
    <row r="72" spans="1:11">
      <c r="J72" s="2">
        <v>275</v>
      </c>
      <c r="K72" s="2">
        <v>8.9659000000000006E-3</v>
      </c>
    </row>
    <row r="73" spans="1:11">
      <c r="J73" s="2">
        <v>280</v>
      </c>
      <c r="K73" s="2">
        <v>8.9659000000000006E-3</v>
      </c>
    </row>
    <row r="74" spans="1:11">
      <c r="J74" s="2">
        <v>285</v>
      </c>
      <c r="K74" s="2">
        <v>8.9659000000000006E-3</v>
      </c>
    </row>
    <row r="75" spans="1:11">
      <c r="J75" s="2">
        <v>290</v>
      </c>
      <c r="K75" s="2">
        <v>8.9659000000000006E-3</v>
      </c>
    </row>
    <row r="76" spans="1:11">
      <c r="J76" s="2">
        <v>295</v>
      </c>
      <c r="K76" s="2">
        <v>8.9659000000000006E-3</v>
      </c>
    </row>
    <row r="77" spans="1:11">
      <c r="J77" s="2">
        <v>300</v>
      </c>
      <c r="K77" s="2">
        <v>8.9659000000000006E-3</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3"/>
  <dimension ref="A1:A11"/>
  <sheetViews>
    <sheetView topLeftCell="A69" workbookViewId="0">
      <selection activeCell="A10" sqref="A10"/>
    </sheetView>
  </sheetViews>
  <sheetFormatPr baseColWidth="10" defaultColWidth="8.88671875" defaultRowHeight="14.4"/>
  <cols>
    <col min="1" max="1" width="119.109375" customWidth="1"/>
  </cols>
  <sheetData>
    <row r="1" spans="1:1" ht="43.2">
      <c r="A1" s="3" t="s">
        <v>17</v>
      </c>
    </row>
    <row r="2" spans="1:1">
      <c r="A2" s="3" t="s">
        <v>18</v>
      </c>
    </row>
    <row r="3" spans="1:1" ht="43.2">
      <c r="A3" s="3" t="s">
        <v>26</v>
      </c>
    </row>
    <row r="4" spans="1:1">
      <c r="A4" s="3" t="s">
        <v>19</v>
      </c>
    </row>
    <row r="5" spans="1:1" ht="43.2">
      <c r="A5" s="3" t="s">
        <v>20</v>
      </c>
    </row>
    <row r="6" spans="1:1" ht="57.6">
      <c r="A6" s="3" t="s">
        <v>27</v>
      </c>
    </row>
    <row r="7" spans="1:1" ht="28.8">
      <c r="A7" s="3" t="s">
        <v>21</v>
      </c>
    </row>
    <row r="8" spans="1:1" ht="100.8">
      <c r="A8" s="3" t="s">
        <v>25</v>
      </c>
    </row>
    <row r="9" spans="1:1" ht="43.2">
      <c r="A9" s="3" t="s">
        <v>22</v>
      </c>
    </row>
    <row r="10" spans="1:1" ht="172.8">
      <c r="A10" s="3" t="s">
        <v>28</v>
      </c>
    </row>
    <row r="11" spans="1:1">
      <c r="A11" s="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4"/>
  <dimension ref="A1:J110"/>
  <sheetViews>
    <sheetView tabSelected="1" workbookViewId="0">
      <selection activeCell="A110" sqref="A110:H110"/>
    </sheetView>
  </sheetViews>
  <sheetFormatPr baseColWidth="10" defaultColWidth="8.88671875" defaultRowHeight="14.4"/>
  <cols>
    <col min="1" max="1" width="15.88671875" customWidth="1"/>
    <col min="3" max="3" width="12" bestFit="1" customWidth="1"/>
  </cols>
  <sheetData>
    <row r="1" spans="1:10">
      <c r="A1" t="s">
        <v>30</v>
      </c>
      <c r="B1" s="2">
        <v>100</v>
      </c>
      <c r="C1" t="s">
        <v>4</v>
      </c>
      <c r="G1" t="s">
        <v>3</v>
      </c>
      <c r="H1" s="2">
        <v>4.7</v>
      </c>
      <c r="I1" t="s">
        <v>4</v>
      </c>
    </row>
    <row r="2" spans="1:10">
      <c r="A2" t="s">
        <v>29</v>
      </c>
      <c r="B2" s="2">
        <v>25</v>
      </c>
      <c r="C2" t="s">
        <v>31</v>
      </c>
      <c r="D2">
        <f>B2+273.15</f>
        <v>298.14999999999998</v>
      </c>
      <c r="E2" t="s">
        <v>34</v>
      </c>
      <c r="G2" t="s">
        <v>5</v>
      </c>
      <c r="H2" s="2">
        <v>5</v>
      </c>
      <c r="I2" t="s">
        <v>6</v>
      </c>
    </row>
    <row r="3" spans="1:10">
      <c r="A3" t="s">
        <v>32</v>
      </c>
      <c r="B3" s="2">
        <v>4540</v>
      </c>
      <c r="G3" t="s">
        <v>7</v>
      </c>
      <c r="H3" s="2">
        <v>16</v>
      </c>
    </row>
    <row r="4" spans="1:10">
      <c r="A4" t="s">
        <v>33</v>
      </c>
      <c r="B4">
        <v>100</v>
      </c>
      <c r="C4" t="s">
        <v>31</v>
      </c>
      <c r="D4">
        <f>B4+273.15</f>
        <v>373.15</v>
      </c>
      <c r="E4" t="s">
        <v>34</v>
      </c>
      <c r="G4" t="s">
        <v>12</v>
      </c>
      <c r="H4" s="2">
        <v>100</v>
      </c>
      <c r="I4" t="s">
        <v>13</v>
      </c>
    </row>
    <row r="5" spans="1:10">
      <c r="G5" t="s">
        <v>15</v>
      </c>
      <c r="H5" s="2">
        <v>1023</v>
      </c>
      <c r="I5" t="s">
        <v>16</v>
      </c>
    </row>
    <row r="7" spans="1:10">
      <c r="A7" t="s">
        <v>10</v>
      </c>
      <c r="B7" t="s">
        <v>35</v>
      </c>
      <c r="C7" t="s">
        <v>2</v>
      </c>
      <c r="D7" t="s">
        <v>0</v>
      </c>
      <c r="E7" t="s">
        <v>8</v>
      </c>
      <c r="F7" t="s">
        <v>14</v>
      </c>
    </row>
    <row r="8" spans="1:10">
      <c r="A8" s="4">
        <v>0</v>
      </c>
      <c r="B8">
        <f>A8+273.15</f>
        <v>273.14999999999998</v>
      </c>
      <c r="C8" s="5">
        <f>$B$1*EXP($B$3*((1/B8)-(1/$D$2)))</f>
        <v>402.9610219710886</v>
      </c>
      <c r="D8">
        <f>C8*$H$2/(C8+$H$1)</f>
        <v>4.9423540669000561</v>
      </c>
      <c r="E8">
        <f>(D8/$H$2*$H$5)</f>
        <v>1011.2056420877515</v>
      </c>
      <c r="F8" s="4">
        <f>ROUND(E8*$H$3,0)</f>
        <v>16179</v>
      </c>
      <c r="G8">
        <f>ROUND(E8,0)</f>
        <v>1011</v>
      </c>
      <c r="H8">
        <f>ROUND(A8*4,0)</f>
        <v>0</v>
      </c>
    </row>
    <row r="9" spans="1:10">
      <c r="A9" s="4">
        <f>(155/101)*(ROW(A9)-8)</f>
        <v>1.5346534653465347</v>
      </c>
      <c r="B9">
        <f t="shared" ref="B9:B68" si="0">A9+273.15</f>
        <v>274.68465346534651</v>
      </c>
      <c r="C9" s="5">
        <f t="shared" ref="C9:C68" si="1">$B$1*EXP($B$3*((1/B9)-(1/$D$2)))</f>
        <v>367.22672331613876</v>
      </c>
      <c r="D9">
        <f t="shared" ref="D9:D68" si="2">C9*$H$2/(C9+$H$1)</f>
        <v>4.936815510887544</v>
      </c>
      <c r="E9">
        <f t="shared" ref="E9:E68" si="3">(D9/$H$2*$H$5)</f>
        <v>1010.0724535275915</v>
      </c>
      <c r="F9" s="4">
        <f t="shared" ref="F9:F68" si="4">ROUND(E9*$H$3,0)</f>
        <v>16161</v>
      </c>
      <c r="G9">
        <f t="shared" ref="G9:G72" si="5">ROUND(E9,0)</f>
        <v>1010</v>
      </c>
      <c r="H9">
        <f t="shared" ref="H9:H72" si="6">ROUND(A9*4,0)</f>
        <v>6</v>
      </c>
    </row>
    <row r="10" spans="1:10">
      <c r="A10" s="4">
        <f t="shared" ref="A10:A73" si="7">(155/101)*(ROW(A10)-8)</f>
        <v>3.0693069306930694</v>
      </c>
      <c r="B10">
        <f t="shared" si="0"/>
        <v>276.21930693069305</v>
      </c>
      <c r="C10" s="5">
        <f t="shared" si="1"/>
        <v>335.00681574901085</v>
      </c>
      <c r="D10">
        <f t="shared" si="2"/>
        <v>4.9308227008981689</v>
      </c>
      <c r="E10">
        <f t="shared" si="3"/>
        <v>1008.8463246037653</v>
      </c>
      <c r="F10" s="4">
        <f t="shared" si="4"/>
        <v>16142</v>
      </c>
      <c r="G10">
        <f t="shared" si="5"/>
        <v>1009</v>
      </c>
      <c r="H10">
        <f t="shared" si="6"/>
        <v>12</v>
      </c>
    </row>
    <row r="11" spans="1:10">
      <c r="A11" s="4">
        <f t="shared" si="7"/>
        <v>4.6039603960396036</v>
      </c>
      <c r="B11">
        <f t="shared" si="0"/>
        <v>277.75396039603959</v>
      </c>
      <c r="C11" s="5">
        <f t="shared" si="1"/>
        <v>305.92411143244823</v>
      </c>
      <c r="D11">
        <f t="shared" si="2"/>
        <v>4.9243458600440597</v>
      </c>
      <c r="E11">
        <f t="shared" si="3"/>
        <v>1007.5211629650147</v>
      </c>
      <c r="F11" s="4">
        <f t="shared" si="4"/>
        <v>16120</v>
      </c>
      <c r="G11">
        <f t="shared" si="5"/>
        <v>1008</v>
      </c>
      <c r="H11">
        <f t="shared" si="6"/>
        <v>18</v>
      </c>
    </row>
    <row r="12" spans="1:10">
      <c r="A12" s="4">
        <f t="shared" si="7"/>
        <v>6.1386138613861387</v>
      </c>
      <c r="B12">
        <f t="shared" si="0"/>
        <v>279.28861386138612</v>
      </c>
      <c r="C12" s="5">
        <f t="shared" si="1"/>
        <v>279.6450948859827</v>
      </c>
      <c r="D12">
        <f t="shared" si="2"/>
        <v>4.9173539462341589</v>
      </c>
      <c r="E12">
        <f t="shared" si="3"/>
        <v>1006.0906173995089</v>
      </c>
      <c r="F12" s="4">
        <f t="shared" si="4"/>
        <v>16097</v>
      </c>
      <c r="G12">
        <f t="shared" si="5"/>
        <v>1006</v>
      </c>
      <c r="H12">
        <f t="shared" si="6"/>
        <v>25</v>
      </c>
      <c r="J12" s="6" t="s">
        <v>56</v>
      </c>
    </row>
    <row r="13" spans="1:10">
      <c r="A13" s="4">
        <f t="shared" si="7"/>
        <v>7.6732673267326739</v>
      </c>
      <c r="B13">
        <f t="shared" si="0"/>
        <v>280.82326732673266</v>
      </c>
      <c r="C13" s="5">
        <f t="shared" si="1"/>
        <v>255.87451533936468</v>
      </c>
      <c r="D13">
        <f t="shared" si="2"/>
        <v>4.9098146648401357</v>
      </c>
      <c r="E13">
        <f t="shared" si="3"/>
        <v>1004.5480804262918</v>
      </c>
      <c r="F13" s="4">
        <f t="shared" si="4"/>
        <v>16073</v>
      </c>
      <c r="G13">
        <f t="shared" si="5"/>
        <v>1005</v>
      </c>
      <c r="H13">
        <f t="shared" si="6"/>
        <v>31</v>
      </c>
      <c r="J13" t="s">
        <v>54</v>
      </c>
    </row>
    <row r="14" spans="1:10">
      <c r="A14" s="4">
        <f t="shared" si="7"/>
        <v>9.2079207920792072</v>
      </c>
      <c r="B14">
        <f t="shared" si="0"/>
        <v>282.3579207920792</v>
      </c>
      <c r="C14" s="5">
        <f t="shared" si="1"/>
        <v>234.35069026145339</v>
      </c>
      <c r="D14">
        <f t="shared" si="2"/>
        <v>4.9016944900920487</v>
      </c>
      <c r="E14">
        <f t="shared" si="3"/>
        <v>1002.8866926728332</v>
      </c>
      <c r="F14" s="4">
        <f t="shared" si="4"/>
        <v>16046</v>
      </c>
      <c r="G14">
        <f t="shared" si="5"/>
        <v>1003</v>
      </c>
      <c r="H14">
        <f t="shared" si="6"/>
        <v>37</v>
      </c>
    </row>
    <row r="15" spans="1:10">
      <c r="A15" s="4">
        <f t="shared" si="7"/>
        <v>10.742574257425742</v>
      </c>
      <c r="B15">
        <f t="shared" si="0"/>
        <v>283.89257425742574</v>
      </c>
      <c r="C15" s="5">
        <f t="shared" si="1"/>
        <v>214.84142127991959</v>
      </c>
      <c r="D15">
        <f t="shared" si="2"/>
        <v>4.892958696072041</v>
      </c>
      <c r="E15">
        <f t="shared" si="3"/>
        <v>1001.0993492163396</v>
      </c>
      <c r="F15" s="4">
        <f t="shared" si="4"/>
        <v>16018</v>
      </c>
      <c r="G15">
        <f t="shared" si="5"/>
        <v>1001</v>
      </c>
      <c r="H15">
        <f t="shared" si="6"/>
        <v>43</v>
      </c>
    </row>
    <row r="16" spans="1:10">
      <c r="A16" s="4">
        <f t="shared" si="7"/>
        <v>12.277227722772277</v>
      </c>
      <c r="B16">
        <f t="shared" si="0"/>
        <v>285.42722772277227</v>
      </c>
      <c r="C16" s="5">
        <f t="shared" si="1"/>
        <v>197.14043813280435</v>
      </c>
      <c r="D16">
        <f t="shared" si="2"/>
        <v>4.8835713981925775</v>
      </c>
      <c r="E16">
        <f t="shared" si="3"/>
        <v>999.17870807020142</v>
      </c>
      <c r="F16" s="4">
        <f t="shared" si="4"/>
        <v>15987</v>
      </c>
      <c r="G16">
        <f t="shared" si="5"/>
        <v>999</v>
      </c>
      <c r="H16">
        <f t="shared" si="6"/>
        <v>49</v>
      </c>
    </row>
    <row r="17" spans="1:8">
      <c r="A17" s="4">
        <f t="shared" si="7"/>
        <v>13.811881188118813</v>
      </c>
      <c r="B17">
        <f t="shared" si="0"/>
        <v>286.96188118811881</v>
      </c>
      <c r="C17" s="5">
        <f t="shared" si="1"/>
        <v>181.06429851258409</v>
      </c>
      <c r="D17">
        <f t="shared" si="2"/>
        <v>4.8734956060547443</v>
      </c>
      <c r="E17">
        <f t="shared" si="3"/>
        <v>997.11720099880063</v>
      </c>
      <c r="F17" s="4">
        <f t="shared" si="4"/>
        <v>15954</v>
      </c>
      <c r="G17">
        <f t="shared" si="5"/>
        <v>997</v>
      </c>
      <c r="H17">
        <f t="shared" si="6"/>
        <v>55</v>
      </c>
    </row>
    <row r="18" spans="1:8">
      <c r="A18" s="4">
        <f t="shared" si="7"/>
        <v>15.346534653465348</v>
      </c>
      <c r="B18">
        <f t="shared" si="0"/>
        <v>288.49653465346535</v>
      </c>
      <c r="C18" s="5">
        <f t="shared" si="1"/>
        <v>166.44968202904457</v>
      </c>
      <c r="D18">
        <f t="shared" si="2"/>
        <v>4.8626932885799228</v>
      </c>
      <c r="E18">
        <f t="shared" si="3"/>
        <v>994.90704684345224</v>
      </c>
      <c r="F18" s="4">
        <f t="shared" si="4"/>
        <v>15919</v>
      </c>
      <c r="G18">
        <f t="shared" si="5"/>
        <v>995</v>
      </c>
      <c r="H18">
        <f t="shared" si="6"/>
        <v>61</v>
      </c>
    </row>
    <row r="19" spans="1:8">
      <c r="A19" s="4">
        <f t="shared" si="7"/>
        <v>16.881188118811881</v>
      </c>
      <c r="B19">
        <f t="shared" si="0"/>
        <v>290.03118811881188</v>
      </c>
      <c r="C19" s="5">
        <f t="shared" si="1"/>
        <v>153.15102532258524</v>
      </c>
      <c r="D19">
        <f t="shared" si="2"/>
        <v>4.8511254522929121</v>
      </c>
      <c r="E19">
        <f t="shared" si="3"/>
        <v>992.54026753912979</v>
      </c>
      <c r="F19" s="4">
        <f t="shared" si="4"/>
        <v>15881</v>
      </c>
      <c r="G19">
        <f t="shared" si="5"/>
        <v>993</v>
      </c>
      <c r="H19">
        <f t="shared" si="6"/>
        <v>68</v>
      </c>
    </row>
    <row r="20" spans="1:8">
      <c r="A20" s="4">
        <f t="shared" si="7"/>
        <v>18.415841584158414</v>
      </c>
      <c r="B20">
        <f t="shared" si="0"/>
        <v>291.56584158415842</v>
      </c>
      <c r="C20" s="5">
        <f t="shared" si="1"/>
        <v>141.03845284978783</v>
      </c>
      <c r="D20">
        <f t="shared" si="2"/>
        <v>4.8387522336042545</v>
      </c>
      <c r="E20">
        <f t="shared" si="3"/>
        <v>990.00870699543043</v>
      </c>
      <c r="F20" s="4">
        <f t="shared" si="4"/>
        <v>15840</v>
      </c>
      <c r="G20">
        <f t="shared" si="5"/>
        <v>990</v>
      </c>
      <c r="H20">
        <f t="shared" si="6"/>
        <v>74</v>
      </c>
    </row>
    <row r="21" spans="1:8">
      <c r="A21" s="4">
        <f t="shared" si="7"/>
        <v>19.950495049504951</v>
      </c>
      <c r="B21">
        <f t="shared" si="0"/>
        <v>293.10049504950496</v>
      </c>
      <c r="C21" s="5">
        <f t="shared" si="1"/>
        <v>129.99596424329775</v>
      </c>
      <c r="D21">
        <f t="shared" si="2"/>
        <v>4.8255330058920514</v>
      </c>
      <c r="E21">
        <f t="shared" si="3"/>
        <v>987.30405300551377</v>
      </c>
      <c r="F21" s="4">
        <f t="shared" si="4"/>
        <v>15797</v>
      </c>
      <c r="G21">
        <f t="shared" si="5"/>
        <v>987</v>
      </c>
      <c r="H21">
        <f t="shared" si="6"/>
        <v>80</v>
      </c>
    </row>
    <row r="22" spans="1:8">
      <c r="A22" s="4">
        <f t="shared" si="7"/>
        <v>21.485148514851485</v>
      </c>
      <c r="B22">
        <f t="shared" si="0"/>
        <v>294.63514851485144</v>
      </c>
      <c r="C22" s="5">
        <f t="shared" si="1"/>
        <v>119.91984459006102</v>
      </c>
      <c r="D22">
        <f t="shared" si="2"/>
        <v>4.811426502116869</v>
      </c>
      <c r="E22">
        <f t="shared" si="3"/>
        <v>984.41786233311143</v>
      </c>
      <c r="F22" s="4">
        <f t="shared" si="4"/>
        <v>15751</v>
      </c>
      <c r="G22">
        <f t="shared" si="5"/>
        <v>984</v>
      </c>
      <c r="H22">
        <f t="shared" si="6"/>
        <v>86</v>
      </c>
    </row>
    <row r="23" spans="1:8">
      <c r="A23" s="4">
        <f t="shared" si="7"/>
        <v>23.019801980198022</v>
      </c>
      <c r="B23">
        <f t="shared" si="0"/>
        <v>296.16980198019797</v>
      </c>
      <c r="C23" s="5">
        <f t="shared" si="1"/>
        <v>110.71726861988347</v>
      </c>
      <c r="D23">
        <f t="shared" si="2"/>
        <v>4.7963909536154841</v>
      </c>
      <c r="E23">
        <f t="shared" si="3"/>
        <v>981.34158910972803</v>
      </c>
      <c r="F23" s="4">
        <f t="shared" si="4"/>
        <v>15701</v>
      </c>
      <c r="G23">
        <f t="shared" si="5"/>
        <v>981</v>
      </c>
      <c r="H23">
        <f t="shared" si="6"/>
        <v>92</v>
      </c>
    </row>
    <row r="24" spans="1:8">
      <c r="A24" s="4">
        <f t="shared" si="7"/>
        <v>24.554455445544555</v>
      </c>
      <c r="B24">
        <f t="shared" si="0"/>
        <v>297.70445544554451</v>
      </c>
      <c r="C24" s="5">
        <f t="shared" si="1"/>
        <v>102.30507377115575</v>
      </c>
      <c r="D24">
        <f t="shared" si="2"/>
        <v>4.7803842456082242</v>
      </c>
      <c r="E24">
        <f t="shared" si="3"/>
        <v>978.06661665144259</v>
      </c>
      <c r="F24" s="4">
        <f t="shared" si="4"/>
        <v>15649</v>
      </c>
      <c r="G24">
        <f t="shared" si="5"/>
        <v>978</v>
      </c>
      <c r="H24">
        <f t="shared" si="6"/>
        <v>98</v>
      </c>
    </row>
    <row r="25" spans="1:8">
      <c r="A25" s="4">
        <f t="shared" si="7"/>
        <v>26.089108910891088</v>
      </c>
      <c r="B25">
        <f t="shared" si="0"/>
        <v>299.23910891089105</v>
      </c>
      <c r="C25" s="5">
        <f t="shared" si="1"/>
        <v>94.608680504249662</v>
      </c>
      <c r="D25">
        <f t="shared" si="2"/>
        <v>4.763364089818972</v>
      </c>
      <c r="E25">
        <f t="shared" si="3"/>
        <v>974.58429277696166</v>
      </c>
      <c r="F25" s="4">
        <f t="shared" si="4"/>
        <v>15593</v>
      </c>
      <c r="G25">
        <f t="shared" si="5"/>
        <v>975</v>
      </c>
      <c r="H25">
        <f t="shared" si="6"/>
        <v>104</v>
      </c>
    </row>
    <row r="26" spans="1:8">
      <c r="A26" s="4">
        <f t="shared" si="7"/>
        <v>27.623762376237625</v>
      </c>
      <c r="B26">
        <f t="shared" si="0"/>
        <v>300.77376237623758</v>
      </c>
      <c r="C26" s="5">
        <f t="shared" si="1"/>
        <v>87.561141151369412</v>
      </c>
      <c r="D26">
        <f t="shared" si="2"/>
        <v>4.7452882144450772</v>
      </c>
      <c r="E26">
        <f t="shared" si="3"/>
        <v>970.88596867546278</v>
      </c>
      <c r="F26" s="4">
        <f t="shared" si="4"/>
        <v>15534</v>
      </c>
      <c r="G26">
        <f t="shared" si="5"/>
        <v>971</v>
      </c>
      <c r="H26">
        <f t="shared" si="6"/>
        <v>110</v>
      </c>
    </row>
    <row r="27" spans="1:8">
      <c r="A27" s="4">
        <f t="shared" si="7"/>
        <v>29.158415841584159</v>
      </c>
      <c r="B27">
        <f t="shared" si="0"/>
        <v>302.30841584158412</v>
      </c>
      <c r="C27" s="5">
        <f t="shared" si="1"/>
        <v>81.102301096824519</v>
      </c>
      <c r="D27">
        <f t="shared" si="2"/>
        <v>4.7261145715255219</v>
      </c>
      <c r="E27">
        <f t="shared" si="3"/>
        <v>966.96304133412184</v>
      </c>
      <c r="F27" s="4">
        <f t="shared" si="4"/>
        <v>15471</v>
      </c>
      <c r="G27">
        <f t="shared" si="5"/>
        <v>967</v>
      </c>
      <c r="H27">
        <f t="shared" si="6"/>
        <v>117</v>
      </c>
    </row>
    <row r="28" spans="1:8">
      <c r="A28" s="4">
        <f t="shared" si="7"/>
        <v>30.693069306930695</v>
      </c>
      <c r="B28">
        <f t="shared" si="0"/>
        <v>303.84306930693066</v>
      </c>
      <c r="C28" s="5">
        <f t="shared" si="1"/>
        <v>75.178058234955429</v>
      </c>
      <c r="D28">
        <f t="shared" si="2"/>
        <v>4.7058015615392588</v>
      </c>
      <c r="E28">
        <f t="shared" si="3"/>
        <v>962.80699949093241</v>
      </c>
      <c r="F28" s="4">
        <f t="shared" si="4"/>
        <v>15405</v>
      </c>
      <c r="G28">
        <f t="shared" si="5"/>
        <v>963</v>
      </c>
      <c r="H28">
        <f t="shared" si="6"/>
        <v>123</v>
      </c>
    </row>
    <row r="29" spans="1:8">
      <c r="A29" s="4">
        <f t="shared" si="7"/>
        <v>32.227722772277225</v>
      </c>
      <c r="B29">
        <f t="shared" si="0"/>
        <v>305.3777227722772</v>
      </c>
      <c r="C29" s="5">
        <f t="shared" si="1"/>
        <v>69.739708505960337</v>
      </c>
      <c r="D29">
        <f t="shared" si="2"/>
        <v>4.6843082748219196</v>
      </c>
      <c r="E29">
        <f t="shared" si="3"/>
        <v>958.40947302856478</v>
      </c>
      <c r="F29" s="4">
        <f t="shared" si="4"/>
        <v>15335</v>
      </c>
      <c r="G29">
        <f t="shared" si="5"/>
        <v>958</v>
      </c>
      <c r="H29">
        <f t="shared" si="6"/>
        <v>129</v>
      </c>
    </row>
    <row r="30" spans="1:8">
      <c r="A30" s="4">
        <f t="shared" si="7"/>
        <v>33.762376237623762</v>
      </c>
      <c r="B30">
        <f t="shared" si="0"/>
        <v>306.91237623762373</v>
      </c>
      <c r="C30" s="5">
        <f t="shared" si="1"/>
        <v>64.743366906413911</v>
      </c>
      <c r="D30">
        <f t="shared" si="2"/>
        <v>4.6615947491188034</v>
      </c>
      <c r="E30">
        <f t="shared" si="3"/>
        <v>953.76228566970724</v>
      </c>
      <c r="F30" s="4">
        <f t="shared" si="4"/>
        <v>15260</v>
      </c>
      <c r="G30">
        <f t="shared" si="5"/>
        <v>954</v>
      </c>
      <c r="H30">
        <f t="shared" si="6"/>
        <v>135</v>
      </c>
    </row>
    <row r="31" spans="1:8">
      <c r="A31" s="4">
        <f t="shared" si="7"/>
        <v>35.297029702970299</v>
      </c>
      <c r="B31">
        <f t="shared" si="0"/>
        <v>308.44702970297027</v>
      </c>
      <c r="C31" s="5">
        <f t="shared" si="1"/>
        <v>60.149454748482768</v>
      </c>
      <c r="D31">
        <f t="shared" si="2"/>
        <v>4.6376222422972671</v>
      </c>
      <c r="E31">
        <f t="shared" si="3"/>
        <v>948.85751077402074</v>
      </c>
      <c r="F31" s="4">
        <f t="shared" si="4"/>
        <v>15182</v>
      </c>
      <c r="G31">
        <f t="shared" si="5"/>
        <v>949</v>
      </c>
      <c r="H31">
        <f t="shared" si="6"/>
        <v>141</v>
      </c>
    </row>
    <row r="32" spans="1:8">
      <c r="A32" s="4">
        <f t="shared" si="7"/>
        <v>36.831683168316829</v>
      </c>
      <c r="B32">
        <f t="shared" si="0"/>
        <v>309.98168316831681</v>
      </c>
      <c r="C32" s="5">
        <f t="shared" si="1"/>
        <v>55.922245131224813</v>
      </c>
      <c r="D32">
        <f t="shared" si="2"/>
        <v>4.612353518924758</v>
      </c>
      <c r="E32">
        <f t="shared" si="3"/>
        <v>943.68752997200545</v>
      </c>
      <c r="F32" s="4">
        <f t="shared" si="4"/>
        <v>15099</v>
      </c>
      <c r="G32">
        <f t="shared" si="5"/>
        <v>944</v>
      </c>
      <c r="H32">
        <f t="shared" si="6"/>
        <v>147</v>
      </c>
    </row>
    <row r="33" spans="1:8">
      <c r="A33" s="4">
        <f t="shared" si="7"/>
        <v>38.366336633663366</v>
      </c>
      <c r="B33">
        <f t="shared" si="0"/>
        <v>311.51633663366334</v>
      </c>
      <c r="C33" s="5">
        <f t="shared" si="1"/>
        <v>52.029459615729287</v>
      </c>
      <c r="D33">
        <f t="shared" si="2"/>
        <v>4.5857531490836871</v>
      </c>
      <c r="E33">
        <f t="shared" si="3"/>
        <v>938.24509430252238</v>
      </c>
      <c r="F33" s="4">
        <f t="shared" si="4"/>
        <v>15012</v>
      </c>
      <c r="G33">
        <f t="shared" si="5"/>
        <v>938</v>
      </c>
      <c r="H33">
        <f t="shared" si="6"/>
        <v>153</v>
      </c>
    </row>
    <row r="34" spans="1:8">
      <c r="A34" s="4">
        <f t="shared" si="7"/>
        <v>39.900990099009903</v>
      </c>
      <c r="B34">
        <f t="shared" si="0"/>
        <v>313.05099009900988</v>
      </c>
      <c r="C34" s="5">
        <f t="shared" si="1"/>
        <v>48.441909986005008</v>
      </c>
      <c r="D34">
        <f t="shared" si="2"/>
        <v>4.5577878174459903</v>
      </c>
      <c r="E34">
        <f t="shared" si="3"/>
        <v>932.52338744944961</v>
      </c>
      <c r="F34" s="4">
        <f t="shared" si="4"/>
        <v>14920</v>
      </c>
      <c r="G34">
        <f t="shared" si="5"/>
        <v>933</v>
      </c>
      <c r="H34">
        <f t="shared" si="6"/>
        <v>160</v>
      </c>
    </row>
    <row r="35" spans="1:8">
      <c r="A35" s="4">
        <f t="shared" si="7"/>
        <v>41.43564356435644</v>
      </c>
      <c r="B35">
        <f t="shared" si="0"/>
        <v>314.58564356435642</v>
      </c>
      <c r="C35" s="5">
        <f t="shared" si="1"/>
        <v>45.133179748907779</v>
      </c>
      <c r="D35">
        <f t="shared" si="2"/>
        <v>4.5284266402744429</v>
      </c>
      <c r="E35">
        <f t="shared" si="3"/>
        <v>926.51609060015096</v>
      </c>
      <c r="F35" s="4">
        <f t="shared" si="4"/>
        <v>14824</v>
      </c>
      <c r="G35">
        <f t="shared" si="5"/>
        <v>927</v>
      </c>
      <c r="H35">
        <f t="shared" si="6"/>
        <v>166</v>
      </c>
    </row>
    <row r="36" spans="1:8">
      <c r="A36" s="4">
        <f t="shared" si="7"/>
        <v>42.970297029702969</v>
      </c>
      <c r="B36">
        <f t="shared" si="0"/>
        <v>316.12029702970295</v>
      </c>
      <c r="C36" s="5">
        <f t="shared" si="1"/>
        <v>42.079340695590481</v>
      </c>
      <c r="D36">
        <f t="shared" si="2"/>
        <v>4.4976414876617712</v>
      </c>
      <c r="E36">
        <f t="shared" si="3"/>
        <v>920.21744837559834</v>
      </c>
      <c r="F36" s="4">
        <f t="shared" si="4"/>
        <v>14723</v>
      </c>
      <c r="G36">
        <f t="shared" si="5"/>
        <v>920</v>
      </c>
      <c r="H36">
        <f t="shared" si="6"/>
        <v>172</v>
      </c>
    </row>
    <row r="37" spans="1:8">
      <c r="A37" s="4">
        <f t="shared" si="7"/>
        <v>44.504950495049506</v>
      </c>
      <c r="B37">
        <f t="shared" si="0"/>
        <v>317.65495049504949</v>
      </c>
      <c r="C37" s="5">
        <f t="shared" si="1"/>
        <v>39.258700428142824</v>
      </c>
      <c r="D37">
        <f t="shared" si="2"/>
        <v>4.4654073079704819</v>
      </c>
      <c r="E37">
        <f t="shared" si="3"/>
        <v>913.62233521076064</v>
      </c>
      <c r="F37" s="4">
        <f t="shared" si="4"/>
        <v>14618</v>
      </c>
      <c r="G37">
        <f t="shared" si="5"/>
        <v>914</v>
      </c>
      <c r="H37">
        <f t="shared" si="6"/>
        <v>178</v>
      </c>
    </row>
    <row r="38" spans="1:8">
      <c r="A38" s="4">
        <f t="shared" si="7"/>
        <v>46.039603960396043</v>
      </c>
      <c r="B38">
        <f t="shared" si="0"/>
        <v>319.18960396039603</v>
      </c>
      <c r="C38" s="5">
        <f t="shared" si="1"/>
        <v>36.651577260371639</v>
      </c>
      <c r="D38">
        <f t="shared" si="2"/>
        <v>4.4317024511052763</v>
      </c>
      <c r="E38">
        <f t="shared" si="3"/>
        <v>906.72632149613946</v>
      </c>
      <c r="F38" s="4">
        <f t="shared" si="4"/>
        <v>14508</v>
      </c>
      <c r="G38">
        <f t="shared" si="5"/>
        <v>907</v>
      </c>
      <c r="H38">
        <f t="shared" si="6"/>
        <v>184</v>
      </c>
    </row>
    <row r="39" spans="1:8">
      <c r="A39" s="4">
        <f t="shared" si="7"/>
        <v>47.574257425742573</v>
      </c>
      <c r="B39">
        <f t="shared" si="0"/>
        <v>320.72425742574256</v>
      </c>
      <c r="C39" s="5">
        <f t="shared" si="1"/>
        <v>34.240099341440839</v>
      </c>
      <c r="D39">
        <f t="shared" si="2"/>
        <v>4.3965089869457312</v>
      </c>
      <c r="E39">
        <f t="shared" si="3"/>
        <v>899.52573872909659</v>
      </c>
      <c r="F39" s="4">
        <f t="shared" si="4"/>
        <v>14392</v>
      </c>
      <c r="G39">
        <f t="shared" si="5"/>
        <v>900</v>
      </c>
      <c r="H39">
        <f t="shared" si="6"/>
        <v>190</v>
      </c>
    </row>
    <row r="40" spans="1:8">
      <c r="A40" s="4">
        <f t="shared" si="7"/>
        <v>49.10891089108911</v>
      </c>
      <c r="B40">
        <f t="shared" si="0"/>
        <v>322.2589108910891</v>
      </c>
      <c r="C40" s="5">
        <f t="shared" si="1"/>
        <v>32.008025234238247</v>
      </c>
      <c r="D40">
        <f t="shared" si="2"/>
        <v>4.3598130150002961</v>
      </c>
      <c r="E40">
        <f t="shared" si="3"/>
        <v>892.01774286906061</v>
      </c>
      <c r="F40" s="4">
        <f t="shared" si="4"/>
        <v>14272</v>
      </c>
      <c r="G40">
        <f t="shared" si="5"/>
        <v>892</v>
      </c>
      <c r="H40">
        <f t="shared" si="6"/>
        <v>196</v>
      </c>
    </row>
    <row r="41" spans="1:8">
      <c r="A41" s="4">
        <f t="shared" si="7"/>
        <v>50.643564356435647</v>
      </c>
      <c r="B41">
        <f t="shared" si="0"/>
        <v>323.79356435643564</v>
      </c>
      <c r="C41" s="5">
        <f t="shared" si="1"/>
        <v>29.940583514499913</v>
      </c>
      <c r="D41">
        <f t="shared" si="2"/>
        <v>4.3216049611241871</v>
      </c>
      <c r="E41">
        <f t="shared" si="3"/>
        <v>884.20037504600862</v>
      </c>
      <c r="F41" s="4">
        <f t="shared" si="4"/>
        <v>14147</v>
      </c>
      <c r="G41">
        <f t="shared" si="5"/>
        <v>884</v>
      </c>
      <c r="H41">
        <f t="shared" si="6"/>
        <v>203</v>
      </c>
    </row>
    <row r="42" spans="1:8">
      <c r="A42" s="4">
        <f t="shared" si="7"/>
        <v>52.178217821782177</v>
      </c>
      <c r="B42">
        <f t="shared" si="0"/>
        <v>325.32821782178218</v>
      </c>
      <c r="C42" s="5">
        <f t="shared" si="1"/>
        <v>28.024329248459512</v>
      </c>
      <c r="D42">
        <f t="shared" si="2"/>
        <v>4.2818798569841965</v>
      </c>
      <c r="E42">
        <f t="shared" si="3"/>
        <v>876.07261873896664</v>
      </c>
      <c r="F42" s="4">
        <f t="shared" si="4"/>
        <v>14017</v>
      </c>
      <c r="G42">
        <f t="shared" si="5"/>
        <v>876</v>
      </c>
      <c r="H42">
        <f t="shared" si="6"/>
        <v>209</v>
      </c>
    </row>
    <row r="43" spans="1:8">
      <c r="A43" s="4">
        <f t="shared" si="7"/>
        <v>53.712871287128714</v>
      </c>
      <c r="B43">
        <f t="shared" si="0"/>
        <v>326.86287128712871</v>
      </c>
      <c r="C43" s="5">
        <f t="shared" si="1"/>
        <v>26.247015461750912</v>
      </c>
      <c r="D43">
        <f t="shared" si="2"/>
        <v>4.2406375978631958</v>
      </c>
      <c r="E43">
        <f t="shared" si="3"/>
        <v>867.63445252280997</v>
      </c>
      <c r="F43" s="4">
        <f t="shared" si="4"/>
        <v>13882</v>
      </c>
      <c r="G43">
        <f t="shared" si="5"/>
        <v>868</v>
      </c>
      <c r="H43">
        <f t="shared" si="6"/>
        <v>215</v>
      </c>
    </row>
    <row r="44" spans="1:8">
      <c r="A44" s="4">
        <f t="shared" si="7"/>
        <v>55.24752475247525</v>
      </c>
      <c r="B44">
        <f t="shared" si="0"/>
        <v>328.39752475247525</v>
      </c>
      <c r="C44" s="5">
        <f t="shared" si="1"/>
        <v>24.597477935324825</v>
      </c>
      <c r="D44">
        <f t="shared" si="2"/>
        <v>4.1978831743852822</v>
      </c>
      <c r="E44">
        <f t="shared" si="3"/>
        <v>858.88689747922876</v>
      </c>
      <c r="F44" s="4">
        <f t="shared" si="4"/>
        <v>13742</v>
      </c>
      <c r="G44">
        <f t="shared" si="5"/>
        <v>859</v>
      </c>
      <c r="H44">
        <f t="shared" si="6"/>
        <v>221</v>
      </c>
    </row>
    <row r="45" spans="1:8">
      <c r="A45" s="4">
        <f t="shared" si="7"/>
        <v>56.78217821782178</v>
      </c>
      <c r="B45">
        <f t="shared" si="0"/>
        <v>329.93217821782173</v>
      </c>
      <c r="C45" s="5">
        <f t="shared" si="1"/>
        <v>23.065531859444395</v>
      </c>
      <c r="D45">
        <f t="shared" si="2"/>
        <v>4.1536268738174194</v>
      </c>
      <c r="E45">
        <f t="shared" si="3"/>
        <v>849.832058383044</v>
      </c>
      <c r="F45" s="4">
        <f t="shared" si="4"/>
        <v>13597</v>
      </c>
      <c r="G45">
        <f t="shared" si="5"/>
        <v>850</v>
      </c>
      <c r="H45">
        <f t="shared" si="6"/>
        <v>227</v>
      </c>
    </row>
    <row r="46" spans="1:8">
      <c r="A46" s="4">
        <f t="shared" si="7"/>
        <v>58.316831683168317</v>
      </c>
      <c r="B46">
        <f t="shared" si="0"/>
        <v>331.46683168316827</v>
      </c>
      <c r="C46" s="5">
        <f t="shared" si="1"/>
        <v>21.641879048007951</v>
      </c>
      <c r="D46">
        <f t="shared" si="2"/>
        <v>4.1078844467711901</v>
      </c>
      <c r="E46">
        <f t="shared" si="3"/>
        <v>840.4731578093855</v>
      </c>
      <c r="F46" s="4">
        <f t="shared" si="4"/>
        <v>13448</v>
      </c>
      <c r="G46">
        <f t="shared" si="5"/>
        <v>840</v>
      </c>
      <c r="H46">
        <f t="shared" si="6"/>
        <v>233</v>
      </c>
    </row>
    <row r="47" spans="1:8">
      <c r="A47" s="4">
        <f t="shared" si="7"/>
        <v>59.851485148514854</v>
      </c>
      <c r="B47">
        <f t="shared" si="0"/>
        <v>333.0014851485148</v>
      </c>
      <c r="C47" s="5">
        <f t="shared" si="1"/>
        <v>20.318024565635007</v>
      </c>
      <c r="D47">
        <f t="shared" si="2"/>
        <v>4.0606772353929248</v>
      </c>
      <c r="E47">
        <f t="shared" si="3"/>
        <v>830.8145623613924</v>
      </c>
      <c r="F47" s="4">
        <f t="shared" si="4"/>
        <v>13293</v>
      </c>
      <c r="G47">
        <f t="shared" si="5"/>
        <v>831</v>
      </c>
      <c r="H47">
        <f t="shared" si="6"/>
        <v>239</v>
      </c>
    </row>
    <row r="48" spans="1:8">
      <c r="A48" s="4">
        <f t="shared" si="7"/>
        <v>61.386138613861391</v>
      </c>
      <c r="B48">
        <f t="shared" si="0"/>
        <v>334.53613861386134</v>
      </c>
      <c r="C48" s="5">
        <f t="shared" si="1"/>
        <v>19.086201751840893</v>
      </c>
      <c r="D48">
        <f t="shared" si="2"/>
        <v>4.0120322594934157</v>
      </c>
      <c r="E48">
        <f t="shared" si="3"/>
        <v>820.86180029235277</v>
      </c>
      <c r="F48" s="4">
        <f t="shared" si="4"/>
        <v>13134</v>
      </c>
      <c r="G48">
        <f t="shared" si="5"/>
        <v>821</v>
      </c>
      <c r="H48">
        <f t="shared" si="6"/>
        <v>246</v>
      </c>
    </row>
    <row r="49" spans="1:8">
      <c r="A49" s="4">
        <f t="shared" si="7"/>
        <v>62.920792079207921</v>
      </c>
      <c r="B49">
        <f t="shared" si="0"/>
        <v>336.07079207920788</v>
      </c>
      <c r="C49" s="5">
        <f t="shared" si="1"/>
        <v>17.939304742559834</v>
      </c>
      <c r="D49">
        <f t="shared" si="2"/>
        <v>3.9619822575283363</v>
      </c>
      <c r="E49">
        <f t="shared" si="3"/>
        <v>810.62156989029768</v>
      </c>
      <c r="F49" s="4">
        <f t="shared" si="4"/>
        <v>12970</v>
      </c>
      <c r="G49">
        <f t="shared" si="5"/>
        <v>811</v>
      </c>
      <c r="H49">
        <f t="shared" si="6"/>
        <v>252</v>
      </c>
    </row>
    <row r="50" spans="1:8">
      <c r="A50" s="4">
        <f t="shared" si="7"/>
        <v>64.455445544554451</v>
      </c>
      <c r="B50">
        <f t="shared" si="0"/>
        <v>337.60544554455441</v>
      </c>
      <c r="C50" s="5">
        <f t="shared" si="1"/>
        <v>16.870827691273004</v>
      </c>
      <c r="D50">
        <f t="shared" si="2"/>
        <v>3.9105656798924096</v>
      </c>
      <c r="E50">
        <f t="shared" si="3"/>
        <v>800.1017381059869</v>
      </c>
      <c r="F50" s="4">
        <f t="shared" si="4"/>
        <v>12802</v>
      </c>
      <c r="G50">
        <f t="shared" si="5"/>
        <v>800</v>
      </c>
      <c r="H50">
        <f t="shared" si="6"/>
        <v>258</v>
      </c>
    </row>
    <row r="51" spans="1:8">
      <c r="A51" s="4">
        <f t="shared" si="7"/>
        <v>65.990099009900987</v>
      </c>
      <c r="B51">
        <f t="shared" si="0"/>
        <v>339.14009900990095</v>
      </c>
      <c r="C51" s="5">
        <f t="shared" si="1"/>
        <v>15.874809981819624</v>
      </c>
      <c r="D51">
        <f t="shared" si="2"/>
        <v>3.8578266326267343</v>
      </c>
      <c r="E51">
        <f t="shared" si="3"/>
        <v>789.31132903542982</v>
      </c>
      <c r="F51" s="4">
        <f t="shared" si="4"/>
        <v>12629</v>
      </c>
      <c r="G51">
        <f t="shared" si="5"/>
        <v>789</v>
      </c>
      <c r="H51">
        <f t="shared" si="6"/>
        <v>264</v>
      </c>
    </row>
    <row r="52" spans="1:8">
      <c r="A52" s="4">
        <f t="shared" si="7"/>
        <v>67.524752475247524</v>
      </c>
      <c r="B52">
        <f t="shared" si="0"/>
        <v>340.67475247524749</v>
      </c>
      <c r="C52" s="5">
        <f t="shared" si="1"/>
        <v>14.945786804137317</v>
      </c>
      <c r="D52">
        <f t="shared" si="2"/>
        <v>3.8038147703480623</v>
      </c>
      <c r="E52">
        <f t="shared" si="3"/>
        <v>778.26050201321357</v>
      </c>
      <c r="F52" s="4">
        <f t="shared" si="4"/>
        <v>12452</v>
      </c>
      <c r="G52">
        <f t="shared" si="5"/>
        <v>778</v>
      </c>
      <c r="H52">
        <f t="shared" si="6"/>
        <v>270</v>
      </c>
    </row>
    <row r="53" spans="1:8">
      <c r="A53" s="4">
        <f t="shared" si="7"/>
        <v>69.059405940594061</v>
      </c>
      <c r="B53">
        <f t="shared" si="0"/>
        <v>342.20940594059402</v>
      </c>
      <c r="C53" s="5">
        <f t="shared" si="1"/>
        <v>14.078744534020583</v>
      </c>
      <c r="D53">
        <f t="shared" si="2"/>
        <v>3.748585137977348</v>
      </c>
      <c r="E53">
        <f t="shared" si="3"/>
        <v>766.96051923016546</v>
      </c>
      <c r="F53" s="4">
        <f t="shared" si="4"/>
        <v>12271</v>
      </c>
      <c r="G53">
        <f t="shared" si="5"/>
        <v>767</v>
      </c>
      <c r="H53">
        <f t="shared" si="6"/>
        <v>276</v>
      </c>
    </row>
    <row r="54" spans="1:8">
      <c r="A54" s="4">
        <f t="shared" si="7"/>
        <v>70.594059405940598</v>
      </c>
      <c r="B54">
        <f t="shared" si="0"/>
        <v>343.74405940594056</v>
      </c>
      <c r="C54" s="5">
        <f t="shared" si="1"/>
        <v>13.269080419653642</v>
      </c>
      <c r="D54">
        <f t="shared" si="2"/>
        <v>3.6921979616554594</v>
      </c>
      <c r="E54">
        <f t="shared" si="3"/>
        <v>755.42370295470698</v>
      </c>
      <c r="F54" s="4">
        <f t="shared" si="4"/>
        <v>12087</v>
      </c>
      <c r="G54">
        <f t="shared" si="5"/>
        <v>755</v>
      </c>
      <c r="H54">
        <f t="shared" si="6"/>
        <v>282</v>
      </c>
    </row>
    <row r="55" spans="1:8">
      <c r="A55" s="4">
        <f t="shared" si="7"/>
        <v>72.128712871287135</v>
      </c>
      <c r="B55">
        <f t="shared" si="0"/>
        <v>345.2787128712871</v>
      </c>
      <c r="C55" s="5">
        <f t="shared" si="1"/>
        <v>12.512566132172267</v>
      </c>
      <c r="D55">
        <f t="shared" si="2"/>
        <v>3.6347183900676034</v>
      </c>
      <c r="E55">
        <f t="shared" si="3"/>
        <v>743.66338260783164</v>
      </c>
      <c r="F55" s="4">
        <f t="shared" si="4"/>
        <v>11899</v>
      </c>
      <c r="G55">
        <f t="shared" si="5"/>
        <v>744</v>
      </c>
      <c r="H55">
        <f t="shared" si="6"/>
        <v>289</v>
      </c>
    </row>
    <row r="56" spans="1:8">
      <c r="A56" s="4">
        <f t="shared" si="7"/>
        <v>73.663366336633658</v>
      </c>
      <c r="B56">
        <f t="shared" si="0"/>
        <v>346.81336633663364</v>
      </c>
      <c r="C56" s="5">
        <f t="shared" si="1"/>
        <v>11.805314785712183</v>
      </c>
      <c r="D56">
        <f t="shared" si="2"/>
        <v>3.5762161882339401</v>
      </c>
      <c r="E56">
        <f t="shared" si="3"/>
        <v>731.69383211266415</v>
      </c>
      <c r="F56" s="4">
        <f t="shared" si="4"/>
        <v>11707</v>
      </c>
      <c r="G56">
        <f t="shared" si="5"/>
        <v>732</v>
      </c>
      <c r="H56">
        <f t="shared" si="6"/>
        <v>295</v>
      </c>
    </row>
    <row r="57" spans="1:8">
      <c r="A57" s="4">
        <f t="shared" si="7"/>
        <v>75.198019801980195</v>
      </c>
      <c r="B57">
        <f t="shared" si="0"/>
        <v>348.34801980198017</v>
      </c>
      <c r="C57" s="5">
        <f t="shared" si="1"/>
        <v>11.143751075072879</v>
      </c>
      <c r="D57">
        <f t="shared" si="2"/>
        <v>3.5167653866404924</v>
      </c>
      <c r="E57">
        <f t="shared" si="3"/>
        <v>719.53019810664478</v>
      </c>
      <c r="F57" s="4">
        <f t="shared" si="4"/>
        <v>11512</v>
      </c>
      <c r="G57">
        <f t="shared" si="5"/>
        <v>720</v>
      </c>
      <c r="H57">
        <f t="shared" si="6"/>
        <v>301</v>
      </c>
    </row>
    <row r="58" spans="1:8">
      <c r="A58" s="4">
        <f t="shared" si="7"/>
        <v>76.732673267326732</v>
      </c>
      <c r="B58">
        <f t="shared" si="0"/>
        <v>349.88267326732671</v>
      </c>
      <c r="C58" s="5">
        <f t="shared" si="1"/>
        <v>10.524584216932219</v>
      </c>
      <c r="D58">
        <f t="shared" si="2"/>
        <v>3.4564438893599361</v>
      </c>
      <c r="E58">
        <f t="shared" si="3"/>
        <v>707.18841976304293</v>
      </c>
      <c r="F58" s="4">
        <f t="shared" si="4"/>
        <v>11315</v>
      </c>
      <c r="G58">
        <f t="shared" si="5"/>
        <v>707</v>
      </c>
      <c r="H58">
        <f t="shared" si="6"/>
        <v>307</v>
      </c>
    </row>
    <row r="59" spans="1:8">
      <c r="A59" s="4">
        <f t="shared" si="7"/>
        <v>78.267326732673268</v>
      </c>
      <c r="B59">
        <f t="shared" si="0"/>
        <v>351.41732673267325</v>
      </c>
      <c r="C59" s="5">
        <f t="shared" si="1"/>
        <v>9.9447834140692599</v>
      </c>
      <c r="D59">
        <f t="shared" si="2"/>
        <v>3.3953330455250352</v>
      </c>
      <c r="E59">
        <f t="shared" si="3"/>
        <v>694.68514111442221</v>
      </c>
      <c r="F59" s="4">
        <f t="shared" si="4"/>
        <v>11115</v>
      </c>
      <c r="G59">
        <f t="shared" si="5"/>
        <v>695</v>
      </c>
      <c r="H59">
        <f t="shared" si="6"/>
        <v>313</v>
      </c>
    </row>
    <row r="60" spans="1:8">
      <c r="A60" s="4">
        <f t="shared" si="7"/>
        <v>79.801980198019805</v>
      </c>
      <c r="B60">
        <f t="shared" si="0"/>
        <v>352.95198019801978</v>
      </c>
      <c r="C60" s="5">
        <f t="shared" si="1"/>
        <v>9.4015555918045077</v>
      </c>
      <c r="D60">
        <f t="shared" si="2"/>
        <v>3.3335171891491426</v>
      </c>
      <c r="E60">
        <f t="shared" si="3"/>
        <v>682.03761689991461</v>
      </c>
      <c r="F60" s="4">
        <f t="shared" si="4"/>
        <v>10913</v>
      </c>
      <c r="G60">
        <f t="shared" si="5"/>
        <v>682</v>
      </c>
      <c r="H60">
        <f t="shared" si="6"/>
        <v>319</v>
      </c>
    </row>
    <row r="61" spans="1:8">
      <c r="A61" s="4">
        <f t="shared" si="7"/>
        <v>81.336633663366342</v>
      </c>
      <c r="B61">
        <f t="shared" si="0"/>
        <v>354.48663366336632</v>
      </c>
      <c r="C61" s="5">
        <f t="shared" si="1"/>
        <v>8.8923251822875002</v>
      </c>
      <c r="D61">
        <f t="shared" si="2"/>
        <v>3.2710831528204287</v>
      </c>
      <c r="E61">
        <f t="shared" si="3"/>
        <v>669.26361306705974</v>
      </c>
      <c r="F61" s="4">
        <f t="shared" si="4"/>
        <v>10708</v>
      </c>
      <c r="G61">
        <f t="shared" si="5"/>
        <v>669</v>
      </c>
      <c r="H61">
        <f t="shared" si="6"/>
        <v>325</v>
      </c>
    </row>
    <row r="62" spans="1:8">
      <c r="A62" s="4">
        <f t="shared" si="7"/>
        <v>82.871287128712879</v>
      </c>
      <c r="B62">
        <f t="shared" si="0"/>
        <v>356.02128712871286</v>
      </c>
      <c r="C62" s="5">
        <f t="shared" si="1"/>
        <v>8.4147157557492065</v>
      </c>
      <c r="D62">
        <f t="shared" si="2"/>
        <v>3.2081197612157086</v>
      </c>
      <c r="E62">
        <f t="shared" si="3"/>
        <v>656.38130314473403</v>
      </c>
      <c r="F62" s="4">
        <f t="shared" si="4"/>
        <v>10502</v>
      </c>
      <c r="G62">
        <f t="shared" si="5"/>
        <v>656</v>
      </c>
      <c r="H62">
        <f t="shared" si="6"/>
        <v>331</v>
      </c>
    </row>
    <row r="63" spans="1:8">
      <c r="A63" s="4">
        <f t="shared" si="7"/>
        <v>84.405940594059402</v>
      </c>
      <c r="B63">
        <f t="shared" si="0"/>
        <v>357.55594059405939</v>
      </c>
      <c r="C63" s="5">
        <f t="shared" si="1"/>
        <v>7.9665333187290726</v>
      </c>
      <c r="D63">
        <f t="shared" si="2"/>
        <v>3.1447173106747153</v>
      </c>
      <c r="E63">
        <f t="shared" si="3"/>
        <v>643.40916176404664</v>
      </c>
      <c r="F63" s="4">
        <f t="shared" si="4"/>
        <v>10295</v>
      </c>
      <c r="G63">
        <f t="shared" si="5"/>
        <v>643</v>
      </c>
      <c r="H63">
        <f t="shared" si="6"/>
        <v>338</v>
      </c>
    </row>
    <row r="64" spans="1:8">
      <c r="A64" s="4">
        <f t="shared" si="7"/>
        <v>85.940594059405939</v>
      </c>
      <c r="B64">
        <f t="shared" si="0"/>
        <v>359.09059405940593</v>
      </c>
      <c r="C64" s="5">
        <f t="shared" si="1"/>
        <v>7.5457511178860512</v>
      </c>
      <c r="D64">
        <f t="shared" si="2"/>
        <v>3.0809670412396284</v>
      </c>
      <c r="E64">
        <f t="shared" si="3"/>
        <v>630.36585663762799</v>
      </c>
      <c r="F64" s="4">
        <f t="shared" si="4"/>
        <v>10086</v>
      </c>
      <c r="G64">
        <f t="shared" si="5"/>
        <v>630</v>
      </c>
      <c r="H64">
        <f t="shared" si="6"/>
        <v>344</v>
      </c>
    </row>
    <row r="65" spans="1:8">
      <c r="A65" s="4">
        <f t="shared" si="7"/>
        <v>87.475247524752476</v>
      </c>
      <c r="B65">
        <f t="shared" si="0"/>
        <v>360.62524752475247</v>
      </c>
      <c r="C65" s="5">
        <f t="shared" si="1"/>
        <v>7.1504958045755256</v>
      </c>
      <c r="D65">
        <f t="shared" si="2"/>
        <v>3.0169606075952911</v>
      </c>
      <c r="E65">
        <f t="shared" si="3"/>
        <v>617.27014031399654</v>
      </c>
      <c r="F65" s="4">
        <f t="shared" si="4"/>
        <v>9876</v>
      </c>
      <c r="G65">
        <f t="shared" si="5"/>
        <v>617</v>
      </c>
      <c r="H65">
        <f t="shared" si="6"/>
        <v>350</v>
      </c>
    </row>
    <row r="66" spans="1:8">
      <c r="A66" s="4">
        <f t="shared" si="7"/>
        <v>89.009900990099013</v>
      </c>
      <c r="B66">
        <f t="shared" si="0"/>
        <v>362.159900990099</v>
      </c>
      <c r="C66" s="5">
        <f t="shared" si="1"/>
        <v>6.779034830149067</v>
      </c>
      <c r="D66">
        <f t="shared" si="2"/>
        <v>2.9527895552439198</v>
      </c>
      <c r="E66">
        <f t="shared" si="3"/>
        <v>604.14074300290599</v>
      </c>
      <c r="F66" s="4">
        <f t="shared" si="4"/>
        <v>9666</v>
      </c>
      <c r="G66">
        <f t="shared" si="5"/>
        <v>604</v>
      </c>
      <c r="H66">
        <f t="shared" si="6"/>
        <v>356</v>
      </c>
    </row>
    <row r="67" spans="1:8">
      <c r="A67" s="4">
        <f t="shared" si="7"/>
        <v>90.544554455445549</v>
      </c>
      <c r="B67">
        <f t="shared" si="0"/>
        <v>363.69455445544554</v>
      </c>
      <c r="C67" s="5">
        <f t="shared" si="1"/>
        <v>6.4297649551191123</v>
      </c>
      <c r="D67">
        <f t="shared" si="2"/>
        <v>2.8885448080202969</v>
      </c>
      <c r="E67">
        <f t="shared" si="3"/>
        <v>590.9962677209528</v>
      </c>
      <c r="F67" s="4">
        <f t="shared" si="4"/>
        <v>9456</v>
      </c>
      <c r="G67">
        <f t="shared" si="5"/>
        <v>591</v>
      </c>
      <c r="H67">
        <f t="shared" si="6"/>
        <v>362</v>
      </c>
    </row>
    <row r="68" spans="1:8">
      <c r="A68" s="4">
        <f t="shared" si="7"/>
        <v>92.079207920792086</v>
      </c>
      <c r="B68">
        <f t="shared" si="0"/>
        <v>365.22920792079208</v>
      </c>
      <c r="C68" s="5">
        <f t="shared" si="1"/>
        <v>6.101201767103551</v>
      </c>
      <c r="D68">
        <f t="shared" si="2"/>
        <v>2.8243161727084596</v>
      </c>
      <c r="E68">
        <f t="shared" si="3"/>
        <v>577.85508893615088</v>
      </c>
      <c r="F68" s="4">
        <f t="shared" si="4"/>
        <v>9246</v>
      </c>
      <c r="G68">
        <f t="shared" si="5"/>
        <v>578</v>
      </c>
      <c r="H68">
        <f t="shared" si="6"/>
        <v>368</v>
      </c>
    </row>
    <row r="69" spans="1:8">
      <c r="A69" s="4">
        <f t="shared" si="7"/>
        <v>93.613861386138609</v>
      </c>
      <c r="B69">
        <f t="shared" ref="B69:B110" si="8">A69+273.15</f>
        <v>366.76386138613861</v>
      </c>
      <c r="C69" s="5">
        <f t="shared" ref="C69:C110" si="9">$B$1*EXP($B$3*((1/B69)-(1/$D$2)))</f>
        <v>5.7919701129865011</v>
      </c>
      <c r="D69">
        <f t="shared" ref="D69:D110" si="10">C69*$H$2/(C69+$H$1)</f>
        <v>2.76019186607168</v>
      </c>
      <c r="E69">
        <f t="shared" ref="E69:E110" si="11">(D69/$H$2*$H$5)</f>
        <v>564.73525579826571</v>
      </c>
      <c r="F69" s="4">
        <f t="shared" ref="F69:F110" si="12">ROUND(E69*$H$3,0)</f>
        <v>9036</v>
      </c>
      <c r="G69">
        <f t="shared" si="5"/>
        <v>565</v>
      </c>
      <c r="H69">
        <f t="shared" si="6"/>
        <v>374</v>
      </c>
    </row>
    <row r="70" spans="1:8">
      <c r="A70" s="4">
        <f t="shared" si="7"/>
        <v>95.148514851485146</v>
      </c>
      <c r="B70">
        <f t="shared" si="8"/>
        <v>368.29851485148515</v>
      </c>
      <c r="C70" s="5">
        <f t="shared" si="9"/>
        <v>5.5007953601401685</v>
      </c>
      <c r="D70">
        <f t="shared" si="10"/>
        <v>2.6962580690691267</v>
      </c>
      <c r="E70">
        <f t="shared" si="11"/>
        <v>551.65440093154336</v>
      </c>
      <c r="F70" s="4">
        <f t="shared" si="12"/>
        <v>8826</v>
      </c>
      <c r="G70">
        <f t="shared" si="5"/>
        <v>552</v>
      </c>
      <c r="H70">
        <f t="shared" si="6"/>
        <v>381</v>
      </c>
    </row>
    <row r="71" spans="1:8">
      <c r="A71" s="4">
        <f t="shared" si="7"/>
        <v>96.683168316831683</v>
      </c>
      <c r="B71">
        <f t="shared" si="8"/>
        <v>369.83316831683169</v>
      </c>
      <c r="C71" s="5">
        <f t="shared" si="9"/>
        <v>5.2264954099725518</v>
      </c>
      <c r="D71">
        <f t="shared" si="10"/>
        <v>2.6325985124225242</v>
      </c>
      <c r="E71">
        <f t="shared" si="11"/>
        <v>538.62965564164847</v>
      </c>
      <c r="F71" s="4">
        <f t="shared" si="12"/>
        <v>8618</v>
      </c>
      <c r="G71">
        <f t="shared" si="5"/>
        <v>539</v>
      </c>
      <c r="H71">
        <f t="shared" si="6"/>
        <v>387</v>
      </c>
    </row>
    <row r="72" spans="1:8">
      <c r="A72" s="4">
        <f t="shared" si="7"/>
        <v>98.21782178217822</v>
      </c>
      <c r="B72">
        <f t="shared" si="8"/>
        <v>371.36782178217823</v>
      </c>
      <c r="C72" s="5">
        <f t="shared" si="9"/>
        <v>4.9679733946066795</v>
      </c>
      <c r="D72">
        <f t="shared" si="10"/>
        <v>2.5692940970328304</v>
      </c>
      <c r="E72">
        <f t="shared" si="11"/>
        <v>525.67757225291712</v>
      </c>
      <c r="F72" s="4">
        <f t="shared" si="12"/>
        <v>8411</v>
      </c>
      <c r="G72">
        <f t="shared" si="5"/>
        <v>526</v>
      </c>
      <c r="H72">
        <f t="shared" si="6"/>
        <v>393</v>
      </c>
    </row>
    <row r="73" spans="1:8">
      <c r="A73" s="4">
        <f t="shared" si="7"/>
        <v>99.752475247524757</v>
      </c>
      <c r="B73">
        <f t="shared" si="8"/>
        <v>372.90247524752476</v>
      </c>
      <c r="C73" s="5">
        <f t="shared" si="9"/>
        <v>4.7242109942545527</v>
      </c>
      <c r="D73">
        <f t="shared" si="10"/>
        <v>2.5064225520495329</v>
      </c>
      <c r="E73">
        <f t="shared" si="11"/>
        <v>512.81405414933442</v>
      </c>
      <c r="F73" s="4">
        <f t="shared" si="12"/>
        <v>8205</v>
      </c>
      <c r="G73">
        <f t="shared" ref="G73:G110" si="13">ROUND(E73,0)</f>
        <v>513</v>
      </c>
      <c r="H73">
        <f t="shared" ref="H73:H110" si="14">ROUND(A73*4,0)</f>
        <v>399</v>
      </c>
    </row>
    <row r="74" spans="1:8">
      <c r="A74" s="4">
        <f t="shared" ref="A74:A109" si="15">(155/101)*(ROW(A74)-8)</f>
        <v>101.28712871287129</v>
      </c>
      <c r="B74">
        <f t="shared" si="8"/>
        <v>374.4371287128713</v>
      </c>
      <c r="C74" s="5">
        <f t="shared" si="9"/>
        <v>4.4942623189098994</v>
      </c>
      <c r="D74">
        <f t="shared" si="10"/>
        <v>2.4440581326826627</v>
      </c>
      <c r="E74">
        <f t="shared" si="11"/>
        <v>500.0542939468728</v>
      </c>
      <c r="F74" s="4">
        <f t="shared" si="12"/>
        <v>8001</v>
      </c>
      <c r="G74">
        <f t="shared" si="13"/>
        <v>500</v>
      </c>
      <c r="H74">
        <f t="shared" si="14"/>
        <v>405</v>
      </c>
    </row>
    <row r="75" spans="1:8">
      <c r="A75" s="4">
        <f t="shared" si="15"/>
        <v>102.82178217821783</v>
      </c>
      <c r="B75">
        <f t="shared" si="8"/>
        <v>375.97178217821784</v>
      </c>
      <c r="C75" s="5">
        <f t="shared" si="9"/>
        <v>4.2772483034224322</v>
      </c>
      <c r="D75">
        <f t="shared" si="10"/>
        <v>2.3822713591378553</v>
      </c>
      <c r="E75">
        <f t="shared" si="11"/>
        <v>487.41272007960521</v>
      </c>
      <c r="F75" s="4">
        <f t="shared" si="12"/>
        <v>7799</v>
      </c>
      <c r="G75">
        <f t="shared" si="13"/>
        <v>487</v>
      </c>
      <c r="H75">
        <f t="shared" si="14"/>
        <v>411</v>
      </c>
    </row>
    <row r="76" spans="1:8">
      <c r="A76" s="4">
        <f t="shared" si="15"/>
        <v>104.35643564356435</v>
      </c>
      <c r="B76">
        <f t="shared" si="8"/>
        <v>377.50643564356432</v>
      </c>
      <c r="C76" s="5">
        <f t="shared" si="9"/>
        <v>4.0723515699007926</v>
      </c>
      <c r="D76">
        <f t="shared" si="10"/>
        <v>2.3211287973646773</v>
      </c>
      <c r="E76">
        <f t="shared" si="11"/>
        <v>474.90295194081295</v>
      </c>
      <c r="F76" s="4">
        <f t="shared" si="12"/>
        <v>7598</v>
      </c>
      <c r="G76">
        <f t="shared" si="13"/>
        <v>475</v>
      </c>
      <c r="H76">
        <f t="shared" si="14"/>
        <v>417</v>
      </c>
    </row>
    <row r="77" spans="1:8">
      <c r="A77" s="4">
        <f t="shared" si="15"/>
        <v>105.89108910891089</v>
      </c>
      <c r="B77">
        <f t="shared" si="8"/>
        <v>379.04108910891085</v>
      </c>
      <c r="C77" s="5">
        <f t="shared" si="9"/>
        <v>3.8788117157807589</v>
      </c>
      <c r="D77">
        <f t="shared" si="10"/>
        <v>2.2606928816526355</v>
      </c>
      <c r="E77">
        <f t="shared" si="11"/>
        <v>462.53776358612924</v>
      </c>
      <c r="F77" s="4">
        <f t="shared" si="12"/>
        <v>7401</v>
      </c>
      <c r="G77">
        <f t="shared" si="13"/>
        <v>463</v>
      </c>
      <c r="H77">
        <f t="shared" si="14"/>
        <v>424</v>
      </c>
    </row>
    <row r="78" spans="1:8">
      <c r="A78" s="4">
        <f t="shared" si="15"/>
        <v>107.42574257425743</v>
      </c>
      <c r="B78">
        <f t="shared" si="8"/>
        <v>380.57574257425739</v>
      </c>
      <c r="C78" s="5">
        <f t="shared" si="9"/>
        <v>3.6959209898424703</v>
      </c>
      <c r="D78">
        <f t="shared" si="10"/>
        <v>2.2010217785004524</v>
      </c>
      <c r="E78">
        <f t="shared" si="11"/>
        <v>450.32905588119257</v>
      </c>
      <c r="F78" s="4">
        <f t="shared" si="12"/>
        <v>7205</v>
      </c>
      <c r="G78">
        <f t="shared" si="13"/>
        <v>450</v>
      </c>
      <c r="H78">
        <f t="shared" si="14"/>
        <v>430</v>
      </c>
    </row>
    <row r="79" spans="1:8">
      <c r="A79" s="4">
        <f t="shared" si="15"/>
        <v>108.96039603960396</v>
      </c>
      <c r="B79">
        <f t="shared" si="8"/>
        <v>382.11039603960393</v>
      </c>
      <c r="C79" s="5">
        <f t="shared" si="9"/>
        <v>3.5230203220119076</v>
      </c>
      <c r="D79">
        <f t="shared" si="10"/>
        <v>2.1421692906323369</v>
      </c>
      <c r="E79">
        <f t="shared" si="11"/>
        <v>438.28783686337613</v>
      </c>
      <c r="F79" s="4">
        <f t="shared" si="12"/>
        <v>7013</v>
      </c>
      <c r="G79">
        <f t="shared" si="13"/>
        <v>438</v>
      </c>
      <c r="H79">
        <f t="shared" si="14"/>
        <v>436</v>
      </c>
    </row>
    <row r="80" spans="1:8">
      <c r="A80" s="4">
        <f t="shared" si="15"/>
        <v>110.4950495049505</v>
      </c>
      <c r="B80">
        <f t="shared" si="8"/>
        <v>383.64504950495046</v>
      </c>
      <c r="C80" s="5">
        <f t="shared" si="9"/>
        <v>3.3594956759803236</v>
      </c>
      <c r="D80">
        <f t="shared" si="10"/>
        <v>2.0841847995480736</v>
      </c>
      <c r="E80">
        <f t="shared" si="11"/>
        <v>426.42420998753585</v>
      </c>
      <c r="F80" s="4">
        <f t="shared" si="12"/>
        <v>6823</v>
      </c>
      <c r="G80">
        <f t="shared" si="13"/>
        <v>426</v>
      </c>
      <c r="H80">
        <f t="shared" si="14"/>
        <v>442</v>
      </c>
    </row>
    <row r="81" spans="1:8">
      <c r="A81" s="4">
        <f t="shared" si="15"/>
        <v>112.02970297029704</v>
      </c>
      <c r="B81">
        <f t="shared" si="8"/>
        <v>385.179702970297</v>
      </c>
      <c r="C81" s="5">
        <f t="shared" si="9"/>
        <v>3.2047746965567114</v>
      </c>
      <c r="D81">
        <f t="shared" si="10"/>
        <v>2.0271132445765332</v>
      </c>
      <c r="E81">
        <f t="shared" si="11"/>
        <v>414.74736984035872</v>
      </c>
      <c r="F81" s="4">
        <f t="shared" si="12"/>
        <v>6636</v>
      </c>
      <c r="G81">
        <f t="shared" si="13"/>
        <v>415</v>
      </c>
      <c r="H81">
        <f t="shared" si="14"/>
        <v>448</v>
      </c>
    </row>
    <row r="82" spans="1:8">
      <c r="A82" s="4">
        <f t="shared" si="15"/>
        <v>113.56435643564356</v>
      </c>
      <c r="B82">
        <f t="shared" si="8"/>
        <v>386.71435643564354</v>
      </c>
      <c r="C82" s="5">
        <f t="shared" si="9"/>
        <v>3.0583236262662381</v>
      </c>
      <c r="D82">
        <f t="shared" si="10"/>
        <v>1.9709951360575582</v>
      </c>
      <c r="E82">
        <f t="shared" si="11"/>
        <v>403.26560483737637</v>
      </c>
      <c r="F82" s="4">
        <f t="shared" si="12"/>
        <v>6452</v>
      </c>
      <c r="G82">
        <f t="shared" si="13"/>
        <v>403</v>
      </c>
      <c r="H82">
        <f t="shared" si="14"/>
        <v>454</v>
      </c>
    </row>
    <row r="83" spans="1:8">
      <c r="A83" s="4">
        <f t="shared" si="15"/>
        <v>115.0990099009901</v>
      </c>
      <c r="B83">
        <f t="shared" si="8"/>
        <v>388.24900990099007</v>
      </c>
      <c r="C83" s="5">
        <f t="shared" si="9"/>
        <v>2.9196444680515983</v>
      </c>
      <c r="D83">
        <f t="shared" si="10"/>
        <v>1.915866600005665</v>
      </c>
      <c r="E83">
        <f t="shared" si="11"/>
        <v>391.98630636115911</v>
      </c>
      <c r="F83" s="4">
        <f t="shared" si="12"/>
        <v>6272</v>
      </c>
      <c r="G83">
        <f t="shared" si="13"/>
        <v>392</v>
      </c>
      <c r="H83">
        <f t="shared" si="14"/>
        <v>460</v>
      </c>
    </row>
    <row r="84" spans="1:8">
      <c r="A84" s="4">
        <f t="shared" si="15"/>
        <v>116.63366336633663</v>
      </c>
      <c r="B84">
        <f t="shared" si="8"/>
        <v>389.78366336633661</v>
      </c>
      <c r="C84" s="5">
        <f t="shared" si="9"/>
        <v>2.788272373049633</v>
      </c>
      <c r="D84">
        <f t="shared" si="10"/>
        <v>1.8617594514087474</v>
      </c>
      <c r="E84">
        <f t="shared" si="11"/>
        <v>380.91598375822969</v>
      </c>
      <c r="F84" s="4">
        <f t="shared" si="12"/>
        <v>6095</v>
      </c>
      <c r="G84">
        <f t="shared" si="13"/>
        <v>381</v>
      </c>
      <c r="H84">
        <f t="shared" si="14"/>
        <v>467</v>
      </c>
    </row>
    <row r="85" spans="1:8">
      <c r="A85" s="4">
        <f t="shared" si="15"/>
        <v>118.16831683168317</v>
      </c>
      <c r="B85">
        <f t="shared" si="8"/>
        <v>391.31831683168315</v>
      </c>
      <c r="C85" s="5">
        <f t="shared" si="9"/>
        <v>2.663773234327</v>
      </c>
      <c r="D85">
        <f t="shared" si="10"/>
        <v>1.808701293183189</v>
      </c>
      <c r="E85">
        <f t="shared" si="11"/>
        <v>370.06028458528044</v>
      </c>
      <c r="F85" s="4">
        <f t="shared" si="12"/>
        <v>5921</v>
      </c>
      <c r="G85">
        <f t="shared" si="13"/>
        <v>370</v>
      </c>
      <c r="H85">
        <f t="shared" si="14"/>
        <v>473</v>
      </c>
    </row>
    <row r="86" spans="1:8">
      <c r="A86" s="4">
        <f t="shared" si="15"/>
        <v>119.70297029702971</v>
      </c>
      <c r="B86">
        <f t="shared" si="8"/>
        <v>392.85297029702969</v>
      </c>
      <c r="C86" s="5">
        <f t="shared" si="9"/>
        <v>2.5457414691857769</v>
      </c>
      <c r="D86">
        <f t="shared" si="10"/>
        <v>1.7567156377384858</v>
      </c>
      <c r="E86">
        <f t="shared" si="11"/>
        <v>359.42401948129418</v>
      </c>
      <c r="F86" s="4">
        <f t="shared" si="12"/>
        <v>5751</v>
      </c>
      <c r="G86">
        <f t="shared" si="13"/>
        <v>359</v>
      </c>
      <c r="H86">
        <f t="shared" si="14"/>
        <v>479</v>
      </c>
    </row>
    <row r="87" spans="1:8">
      <c r="A87" s="4">
        <f t="shared" si="15"/>
        <v>121.23762376237624</v>
      </c>
      <c r="B87">
        <f t="shared" si="8"/>
        <v>394.38762376237622</v>
      </c>
      <c r="C87" s="5">
        <f t="shared" si="9"/>
        <v>2.4337979742120557</v>
      </c>
      <c r="D87">
        <f t="shared" si="10"/>
        <v>1.7058220480941457</v>
      </c>
      <c r="E87">
        <f t="shared" si="11"/>
        <v>349.01119104006222</v>
      </c>
      <c r="F87" s="4">
        <f t="shared" si="12"/>
        <v>5584</v>
      </c>
      <c r="G87">
        <f t="shared" si="13"/>
        <v>349</v>
      </c>
      <c r="H87">
        <f t="shared" si="14"/>
        <v>485</v>
      </c>
    </row>
    <row r="88" spans="1:8">
      <c r="A88" s="4">
        <f t="shared" si="15"/>
        <v>122.77227722772278</v>
      </c>
      <c r="B88">
        <f t="shared" si="8"/>
        <v>395.92227722772276</v>
      </c>
      <c r="C88" s="5">
        <f t="shared" si="9"/>
        <v>2.3275882386542932</v>
      </c>
      <c r="D88">
        <f t="shared" si="10"/>
        <v>1.6560362955328762</v>
      </c>
      <c r="E88">
        <f t="shared" si="11"/>
        <v>338.82502606602645</v>
      </c>
      <c r="F88" s="4">
        <f t="shared" si="12"/>
        <v>5421</v>
      </c>
      <c r="G88">
        <f t="shared" si="13"/>
        <v>339</v>
      </c>
      <c r="H88">
        <f t="shared" si="14"/>
        <v>491</v>
      </c>
    </row>
    <row r="89" spans="1:8">
      <c r="A89" s="4">
        <f t="shared" si="15"/>
        <v>124.3069306930693</v>
      </c>
      <c r="B89">
        <f t="shared" si="8"/>
        <v>397.4569306930693</v>
      </c>
      <c r="C89" s="5">
        <f t="shared" si="9"/>
        <v>2.2267806029979789</v>
      </c>
      <c r="D89">
        <f t="shared" si="10"/>
        <v>1.6073705308597517</v>
      </c>
      <c r="E89">
        <f t="shared" si="11"/>
        <v>328.8680106139052</v>
      </c>
      <c r="F89" s="4">
        <f t="shared" si="12"/>
        <v>5262</v>
      </c>
      <c r="G89">
        <f t="shared" si="13"/>
        <v>329</v>
      </c>
      <c r="H89">
        <f t="shared" si="14"/>
        <v>497</v>
      </c>
    </row>
    <row r="90" spans="1:8">
      <c r="A90" s="4">
        <f t="shared" si="15"/>
        <v>125.84158415841584</v>
      </c>
      <c r="B90">
        <f t="shared" si="8"/>
        <v>398.99158415841583</v>
      </c>
      <c r="C90" s="5">
        <f t="shared" si="9"/>
        <v>2.1310646507629776</v>
      </c>
      <c r="D90">
        <f t="shared" si="10"/>
        <v>1.5598334664604252</v>
      </c>
      <c r="E90">
        <f t="shared" si="11"/>
        <v>319.14192723780297</v>
      </c>
      <c r="F90" s="4">
        <f t="shared" si="12"/>
        <v>5106</v>
      </c>
      <c r="G90">
        <f t="shared" si="13"/>
        <v>319</v>
      </c>
      <c r="H90">
        <f t="shared" si="14"/>
        <v>503</v>
      </c>
    </row>
    <row r="91" spans="1:8">
      <c r="A91" s="4">
        <f t="shared" si="15"/>
        <v>127.37623762376238</v>
      </c>
      <c r="B91">
        <f t="shared" si="8"/>
        <v>400.52623762376237</v>
      </c>
      <c r="C91" s="5">
        <f t="shared" si="9"/>
        <v>2.040149722600952</v>
      </c>
      <c r="D91">
        <f t="shared" si="10"/>
        <v>1.5134305665050418</v>
      </c>
      <c r="E91">
        <f t="shared" si="11"/>
        <v>309.64789390693153</v>
      </c>
      <c r="F91" s="4">
        <f t="shared" si="12"/>
        <v>4954</v>
      </c>
      <c r="G91">
        <f t="shared" si="13"/>
        <v>310</v>
      </c>
      <c r="H91">
        <f t="shared" si="14"/>
        <v>510</v>
      </c>
    </row>
    <row r="92" spans="1:8">
      <c r="A92" s="4">
        <f t="shared" si="15"/>
        <v>128.9108910891089</v>
      </c>
      <c r="B92">
        <f t="shared" si="8"/>
        <v>402.06089108910885</v>
      </c>
      <c r="C92" s="5">
        <f t="shared" si="9"/>
        <v>1.9537635427239273</v>
      </c>
      <c r="D92">
        <f t="shared" si="10"/>
        <v>1.4681642428219599</v>
      </c>
      <c r="E92">
        <f t="shared" si="11"/>
        <v>300.38640408137297</v>
      </c>
      <c r="F92" s="4">
        <f t="shared" si="12"/>
        <v>4806</v>
      </c>
      <c r="G92">
        <f t="shared" si="13"/>
        <v>300</v>
      </c>
      <c r="H92">
        <f t="shared" si="14"/>
        <v>516</v>
      </c>
    </row>
    <row r="93" spans="1:8">
      <c r="A93" s="4">
        <f t="shared" si="15"/>
        <v>130.44554455445544</v>
      </c>
      <c r="B93">
        <f t="shared" si="8"/>
        <v>403.59554455445539</v>
      </c>
      <c r="C93" s="5">
        <f t="shared" si="9"/>
        <v>1.8716509485601878</v>
      </c>
      <c r="D93">
        <f t="shared" si="10"/>
        <v>1.4240340541597514</v>
      </c>
      <c r="E93">
        <f t="shared" si="11"/>
        <v>291.35736748108513</v>
      </c>
      <c r="F93" s="4">
        <f t="shared" si="12"/>
        <v>4662</v>
      </c>
      <c r="G93">
        <f t="shared" si="13"/>
        <v>291</v>
      </c>
      <c r="H93">
        <f t="shared" si="14"/>
        <v>522</v>
      </c>
    </row>
    <row r="94" spans="1:8">
      <c r="A94" s="4">
        <f t="shared" si="15"/>
        <v>131.98019801980197</v>
      </c>
      <c r="B94">
        <f t="shared" si="8"/>
        <v>405.13019801980192</v>
      </c>
      <c r="C94" s="5">
        <f t="shared" si="9"/>
        <v>1.7935727153197498</v>
      </c>
      <c r="D94">
        <f t="shared" si="10"/>
        <v>1.3810369067619137</v>
      </c>
      <c r="E94">
        <f t="shared" si="11"/>
        <v>282.56015112348757</v>
      </c>
      <c r="F94" s="4">
        <f t="shared" si="12"/>
        <v>4521</v>
      </c>
      <c r="G94">
        <f t="shared" si="13"/>
        <v>283</v>
      </c>
      <c r="H94">
        <f t="shared" si="14"/>
        <v>528</v>
      </c>
    </row>
    <row r="95" spans="1:8">
      <c r="A95" s="4">
        <f t="shared" si="15"/>
        <v>133.51485148514851</v>
      </c>
      <c r="B95">
        <f t="shared" si="8"/>
        <v>406.66485148514846</v>
      </c>
      <c r="C95" s="5">
        <f t="shared" si="9"/>
        <v>1.7193044678652574</v>
      </c>
      <c r="D95">
        <f t="shared" si="10"/>
        <v>1.3391672543902662</v>
      </c>
      <c r="E95">
        <f t="shared" si="11"/>
        <v>273.99362024824842</v>
      </c>
      <c r="F95" s="4">
        <f t="shared" si="12"/>
        <v>4384</v>
      </c>
      <c r="G95">
        <f t="shared" si="13"/>
        <v>274</v>
      </c>
      <c r="H95">
        <f t="shared" si="14"/>
        <v>534</v>
      </c>
    </row>
    <row r="96" spans="1:8">
      <c r="A96" s="4">
        <f t="shared" si="15"/>
        <v>135.04950495049505</v>
      </c>
      <c r="B96">
        <f t="shared" si="8"/>
        <v>408.199504950495</v>
      </c>
      <c r="C96" s="5">
        <f t="shared" si="9"/>
        <v>1.6486356729334728</v>
      </c>
      <c r="D96">
        <f t="shared" si="10"/>
        <v>1.2984172961461642</v>
      </c>
      <c r="E96">
        <f t="shared" si="11"/>
        <v>265.65617879150523</v>
      </c>
      <c r="F96" s="4">
        <f t="shared" si="12"/>
        <v>4250</v>
      </c>
      <c r="G96">
        <f t="shared" si="13"/>
        <v>266</v>
      </c>
      <c r="H96">
        <f t="shared" si="14"/>
        <v>540</v>
      </c>
    </row>
    <row r="97" spans="1:8">
      <c r="A97" s="4">
        <f t="shared" si="15"/>
        <v>136.58415841584159</v>
      </c>
      <c r="B97">
        <f t="shared" si="8"/>
        <v>409.73415841584153</v>
      </c>
      <c r="C97" s="5">
        <f t="shared" si="9"/>
        <v>1.5813687053426329</v>
      </c>
      <c r="D97">
        <f t="shared" si="10"/>
        <v>1.2587771706488078</v>
      </c>
      <c r="E97">
        <f t="shared" si="11"/>
        <v>257.54580911474608</v>
      </c>
      <c r="F97" s="4">
        <f t="shared" si="12"/>
        <v>4121</v>
      </c>
      <c r="G97">
        <f t="shared" si="13"/>
        <v>258</v>
      </c>
      <c r="H97">
        <f t="shared" si="14"/>
        <v>546</v>
      </c>
    </row>
    <row r="98" spans="1:8">
      <c r="A98" s="4">
        <f t="shared" si="15"/>
        <v>138.11881188118812</v>
      </c>
      <c r="B98">
        <f t="shared" si="8"/>
        <v>411.26881188118807</v>
      </c>
      <c r="C98" s="5">
        <f t="shared" si="9"/>
        <v>1.5173179823582874</v>
      </c>
      <c r="D98">
        <f t="shared" si="10"/>
        <v>1.2202351453341256</v>
      </c>
      <c r="E98">
        <f t="shared" si="11"/>
        <v>249.66011073536211</v>
      </c>
      <c r="F98" s="4">
        <f t="shared" si="12"/>
        <v>3995</v>
      </c>
      <c r="G98">
        <f t="shared" si="13"/>
        <v>250</v>
      </c>
      <c r="H98">
        <f t="shared" si="14"/>
        <v>552</v>
      </c>
    </row>
    <row r="99" spans="1:8">
      <c r="A99" s="4">
        <f t="shared" si="15"/>
        <v>139.65346534653466</v>
      </c>
      <c r="B99">
        <f t="shared" si="8"/>
        <v>412.80346534653461</v>
      </c>
      <c r="C99" s="5">
        <f t="shared" si="9"/>
        <v>1.4563091608793421</v>
      </c>
      <c r="D99">
        <f t="shared" si="10"/>
        <v>1.1827777998330162</v>
      </c>
      <c r="E99">
        <f t="shared" si="11"/>
        <v>241.99633784583511</v>
      </c>
      <c r="F99" s="4">
        <f t="shared" si="12"/>
        <v>3872</v>
      </c>
      <c r="G99">
        <f t="shared" si="13"/>
        <v>242</v>
      </c>
      <c r="H99">
        <f t="shared" si="14"/>
        <v>559</v>
      </c>
    </row>
    <row r="100" spans="1:8">
      <c r="A100" s="4">
        <f t="shared" si="15"/>
        <v>141.1881188118812</v>
      </c>
      <c r="B100">
        <f t="shared" si="8"/>
        <v>414.33811881188115</v>
      </c>
      <c r="C100" s="5">
        <f t="shared" si="9"/>
        <v>1.3981783925517306</v>
      </c>
      <c r="D100">
        <f t="shared" si="10"/>
        <v>1.1463902025721773</v>
      </c>
      <c r="E100">
        <f t="shared" si="11"/>
        <v>234.55143544626748</v>
      </c>
      <c r="F100" s="4">
        <f t="shared" si="12"/>
        <v>3753</v>
      </c>
      <c r="G100">
        <f t="shared" si="13"/>
        <v>235</v>
      </c>
      <c r="H100">
        <f t="shared" si="14"/>
        <v>565</v>
      </c>
    </row>
    <row r="101" spans="1:8">
      <c r="A101" s="4">
        <f t="shared" si="15"/>
        <v>142.72277227722773</v>
      </c>
      <c r="B101">
        <f t="shared" si="8"/>
        <v>415.87277227722768</v>
      </c>
      <c r="C101" s="5">
        <f t="shared" si="9"/>
        <v>1.3427716323232581</v>
      </c>
      <c r="D101">
        <f t="shared" si="10"/>
        <v>1.1110560799126243</v>
      </c>
      <c r="E101">
        <f t="shared" si="11"/>
        <v>227.32207395012293</v>
      </c>
      <c r="F101" s="4">
        <f t="shared" si="12"/>
        <v>3637</v>
      </c>
      <c r="G101">
        <f t="shared" si="13"/>
        <v>227</v>
      </c>
      <c r="H101">
        <f t="shared" si="14"/>
        <v>571</v>
      </c>
    </row>
    <row r="102" spans="1:8">
      <c r="A102" s="4">
        <f t="shared" si="15"/>
        <v>144.25742574257427</v>
      </c>
      <c r="B102">
        <f t="shared" si="8"/>
        <v>417.40742574257422</v>
      </c>
      <c r="C102" s="5">
        <f t="shared" si="9"/>
        <v>1.2899439963237482</v>
      </c>
      <c r="D102">
        <f t="shared" si="10"/>
        <v>1.0767579772994831</v>
      </c>
      <c r="E102">
        <f t="shared" si="11"/>
        <v>220.30468215547424</v>
      </c>
      <c r="F102" s="4">
        <f t="shared" si="12"/>
        <v>3525</v>
      </c>
      <c r="G102">
        <f t="shared" si="13"/>
        <v>220</v>
      </c>
      <c r="H102">
        <f t="shared" si="14"/>
        <v>577</v>
      </c>
    </row>
    <row r="103" spans="1:8">
      <c r="A103" s="4">
        <f t="shared" si="15"/>
        <v>145.79207920792081</v>
      </c>
      <c r="B103">
        <f t="shared" si="8"/>
        <v>418.94207920792076</v>
      </c>
      <c r="C103" s="5">
        <f t="shared" si="9"/>
        <v>1.239559165292504</v>
      </c>
      <c r="D103">
        <f t="shared" si="10"/>
        <v>1.0434774120407804</v>
      </c>
      <c r="E103">
        <f t="shared" si="11"/>
        <v>213.49547850354367</v>
      </c>
      <c r="F103" s="4">
        <f t="shared" si="12"/>
        <v>3416</v>
      </c>
      <c r="G103">
        <f t="shared" si="13"/>
        <v>213</v>
      </c>
      <c r="H103">
        <f t="shared" si="14"/>
        <v>583</v>
      </c>
    </row>
    <row r="104" spans="1:8">
      <c r="A104" s="4">
        <f t="shared" si="15"/>
        <v>147.32673267326732</v>
      </c>
      <c r="B104">
        <f t="shared" si="8"/>
        <v>420.47673267326729</v>
      </c>
      <c r="C104" s="5">
        <f t="shared" si="9"/>
        <v>1.1914888300837605</v>
      </c>
      <c r="D104">
        <f t="shared" si="10"/>
        <v>1.0111950174628617</v>
      </c>
      <c r="E104">
        <f t="shared" si="11"/>
        <v>206.89050057290152</v>
      </c>
      <c r="F104" s="4">
        <f t="shared" si="12"/>
        <v>3310</v>
      </c>
      <c r="G104">
        <f t="shared" si="13"/>
        <v>207</v>
      </c>
      <c r="H104">
        <f t="shared" si="14"/>
        <v>589</v>
      </c>
    </row>
    <row r="105" spans="1:8">
      <c r="A105" s="4">
        <f t="shared" si="15"/>
        <v>148.86138613861385</v>
      </c>
      <c r="B105">
        <f t="shared" si="8"/>
        <v>422.01138613861383</v>
      </c>
      <c r="C105" s="5">
        <f t="shared" si="9"/>
        <v>1.1456121760626787</v>
      </c>
      <c r="D105">
        <f t="shared" si="10"/>
        <v>0.97989067830557619</v>
      </c>
      <c r="E105">
        <f t="shared" si="11"/>
        <v>200.4856327813209</v>
      </c>
      <c r="F105" s="4">
        <f t="shared" si="12"/>
        <v>3208</v>
      </c>
      <c r="G105">
        <f t="shared" si="13"/>
        <v>200</v>
      </c>
      <c r="H105">
        <f t="shared" si="14"/>
        <v>595</v>
      </c>
    </row>
    <row r="106" spans="1:8">
      <c r="A106" s="4">
        <f t="shared" si="15"/>
        <v>150.39603960396039</v>
      </c>
      <c r="B106">
        <f t="shared" si="8"/>
        <v>423.54603960396037</v>
      </c>
      <c r="C106" s="5">
        <f t="shared" si="9"/>
        <v>1.1018154034618857</v>
      </c>
      <c r="D106">
        <f t="shared" si="10"/>
        <v>0.94954365732184731</v>
      </c>
      <c r="E106">
        <f t="shared" si="11"/>
        <v>194.27663228804997</v>
      </c>
      <c r="F106" s="4">
        <f t="shared" si="12"/>
        <v>3108</v>
      </c>
      <c r="G106">
        <f t="shared" si="13"/>
        <v>194</v>
      </c>
      <c r="H106">
        <f t="shared" si="14"/>
        <v>602</v>
      </c>
    </row>
    <row r="107" spans="1:8">
      <c r="A107" s="4">
        <f t="shared" si="15"/>
        <v>151.93069306930693</v>
      </c>
      <c r="B107">
        <f t="shared" si="8"/>
        <v>425.0806930693069</v>
      </c>
      <c r="C107" s="5">
        <f t="shared" si="9"/>
        <v>1.0599912810042083</v>
      </c>
      <c r="D107">
        <f t="shared" si="10"/>
        <v>0.92013271313442613</v>
      </c>
      <c r="E107">
        <f t="shared" si="11"/>
        <v>188.25915310730358</v>
      </c>
      <c r="F107" s="4">
        <f t="shared" si="12"/>
        <v>3012</v>
      </c>
      <c r="G107">
        <f t="shared" si="13"/>
        <v>188</v>
      </c>
      <c r="H107">
        <f t="shared" si="14"/>
        <v>608</v>
      </c>
    </row>
    <row r="108" spans="1:8">
      <c r="A108" s="4">
        <f t="shared" si="15"/>
        <v>153.46534653465346</v>
      </c>
      <c r="B108">
        <f t="shared" si="8"/>
        <v>426.61534653465344</v>
      </c>
      <c r="C108" s="5">
        <f t="shared" si="9"/>
        <v>1.020038730312522</v>
      </c>
      <c r="D108">
        <f t="shared" si="10"/>
        <v>0.89163620947789524</v>
      </c>
      <c r="E108">
        <f t="shared" si="11"/>
        <v>182.42876845917738</v>
      </c>
      <c r="F108" s="4">
        <f t="shared" si="12"/>
        <v>2919</v>
      </c>
      <c r="G108">
        <f t="shared" si="13"/>
        <v>182</v>
      </c>
      <c r="H108">
        <f t="shared" si="14"/>
        <v>614</v>
      </c>
    </row>
    <row r="109" spans="1:8">
      <c r="A109" s="4">
        <f t="shared" si="15"/>
        <v>155</v>
      </c>
      <c r="B109">
        <f t="shared" si="8"/>
        <v>428.15</v>
      </c>
      <c r="C109" s="5">
        <f t="shared" si="9"/>
        <v>0.98186243882486868</v>
      </c>
      <c r="D109">
        <f t="shared" si="10"/>
        <v>0.86403221601748148</v>
      </c>
      <c r="E109">
        <f t="shared" si="11"/>
        <v>176.78099139717673</v>
      </c>
      <c r="F109" s="4">
        <f t="shared" si="12"/>
        <v>2828</v>
      </c>
      <c r="G109">
        <f t="shared" si="13"/>
        <v>177</v>
      </c>
      <c r="H109">
        <f t="shared" si="14"/>
        <v>620</v>
      </c>
    </row>
    <row r="110" spans="1:8">
      <c r="A110" s="4"/>
      <c r="C110" s="5"/>
      <c r="F110" s="4"/>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6"/>
  <dimension ref="A1:A5"/>
  <sheetViews>
    <sheetView workbookViewId="0">
      <selection activeCell="A5" sqref="A5"/>
    </sheetView>
  </sheetViews>
  <sheetFormatPr baseColWidth="10" defaultColWidth="8.88671875" defaultRowHeight="14.4"/>
  <sheetData>
    <row r="1" spans="1:1">
      <c r="A1" t="s">
        <v>58</v>
      </c>
    </row>
    <row r="2" spans="1:1">
      <c r="A2" t="s">
        <v>57</v>
      </c>
    </row>
    <row r="3" spans="1:1">
      <c r="A3" t="s">
        <v>59</v>
      </c>
    </row>
    <row r="4" spans="1:1">
      <c r="A4" t="s">
        <v>66</v>
      </c>
    </row>
    <row r="5" spans="1:1">
      <c r="A5" t="s">
        <v>60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2"/>
  <dimension ref="A1:Q70"/>
  <sheetViews>
    <sheetView topLeftCell="A7" zoomScaleNormal="100" workbookViewId="0">
      <selection activeCell="K28" sqref="K28"/>
    </sheetView>
  </sheetViews>
  <sheetFormatPr baseColWidth="10" defaultColWidth="8.88671875" defaultRowHeight="14.4"/>
  <cols>
    <col min="1" max="1" width="13" customWidth="1"/>
    <col min="4" max="4" width="10" bestFit="1" customWidth="1"/>
    <col min="15" max="15" width="12" bestFit="1" customWidth="1"/>
  </cols>
  <sheetData>
    <row r="1" spans="1:17">
      <c r="A1" t="s">
        <v>3</v>
      </c>
      <c r="B1" s="2">
        <v>4.7</v>
      </c>
      <c r="C1" t="s">
        <v>4</v>
      </c>
      <c r="G1" t="s">
        <v>36</v>
      </c>
      <c r="H1" t="s">
        <v>10</v>
      </c>
      <c r="I1" t="s">
        <v>52</v>
      </c>
      <c r="J1" t="s">
        <v>35</v>
      </c>
      <c r="K1" t="s">
        <v>37</v>
      </c>
      <c r="M1" t="s">
        <v>38</v>
      </c>
      <c r="P1" t="s">
        <v>44</v>
      </c>
    </row>
    <row r="2" spans="1:17">
      <c r="A2" t="s">
        <v>5</v>
      </c>
      <c r="B2" s="2">
        <v>5</v>
      </c>
      <c r="C2" t="s">
        <v>6</v>
      </c>
      <c r="G2">
        <v>1</v>
      </c>
      <c r="H2" s="2">
        <v>25</v>
      </c>
      <c r="I2" s="2">
        <v>100</v>
      </c>
      <c r="J2">
        <f>H2+273.15</f>
        <v>298.14999999999998</v>
      </c>
      <c r="K2">
        <f>LN(I2)</f>
        <v>4.6051701859880918</v>
      </c>
      <c r="M2" t="s">
        <v>39</v>
      </c>
      <c r="N2">
        <f>K2-K3</f>
        <v>4.3453476104153905</v>
      </c>
      <c r="P2" t="s">
        <v>45</v>
      </c>
      <c r="Q2">
        <f>(N4-N2*N5/N3)/(N6-N2*N7/N3)</f>
        <v>5.634284767450175E-7</v>
      </c>
    </row>
    <row r="3" spans="1:17">
      <c r="A3" t="s">
        <v>7</v>
      </c>
      <c r="B3" s="2">
        <v>16</v>
      </c>
      <c r="G3">
        <v>2</v>
      </c>
      <c r="H3" s="2">
        <v>160</v>
      </c>
      <c r="I3" s="2">
        <v>1.2967</v>
      </c>
      <c r="J3">
        <f>H3+273.15</f>
        <v>433.15</v>
      </c>
      <c r="K3">
        <f t="shared" ref="K3:K4" si="0">LN(I3)</f>
        <v>0.2598225755727015</v>
      </c>
      <c r="M3" t="s">
        <v>40</v>
      </c>
      <c r="N3">
        <f>K2-K4</f>
        <v>5.5755211947121905</v>
      </c>
      <c r="P3" t="s">
        <v>46</v>
      </c>
      <c r="Q3">
        <f>(N4-Q2*N6)/N2</f>
        <v>2.2790587830047221E-4</v>
      </c>
    </row>
    <row r="4" spans="1:17">
      <c r="A4" t="s">
        <v>12</v>
      </c>
      <c r="B4" s="2">
        <v>100</v>
      </c>
      <c r="C4" t="s">
        <v>13</v>
      </c>
      <c r="G4">
        <v>3</v>
      </c>
      <c r="H4" s="2">
        <v>220</v>
      </c>
      <c r="I4" s="2">
        <v>0.37895000000000001</v>
      </c>
      <c r="J4">
        <f>H4+273.15</f>
        <v>493.15</v>
      </c>
      <c r="K4">
        <f t="shared" si="0"/>
        <v>-0.97035100872409896</v>
      </c>
      <c r="M4" t="s">
        <v>41</v>
      </c>
      <c r="N4">
        <f>1/J2-1/J3</f>
        <v>1.0453473823891762E-3</v>
      </c>
      <c r="P4" t="s">
        <v>47</v>
      </c>
      <c r="Q4">
        <f>1/J2-Q2*K2^3-Q3*K2</f>
        <v>2.2494440774435279E-3</v>
      </c>
    </row>
    <row r="5" spans="1:17">
      <c r="A5" t="s">
        <v>15</v>
      </c>
      <c r="B5" s="2">
        <v>1023</v>
      </c>
      <c r="C5" t="s">
        <v>16</v>
      </c>
      <c r="M5" t="s">
        <v>42</v>
      </c>
      <c r="N5">
        <f>1/J2-1/J4</f>
        <v>1.326235840540816E-3</v>
      </c>
    </row>
    <row r="6" spans="1:17">
      <c r="M6" t="s">
        <v>6</v>
      </c>
      <c r="N6">
        <f>K2^3-K3^3</f>
        <v>97.647032387212377</v>
      </c>
    </row>
    <row r="7" spans="1:17">
      <c r="M7" t="s">
        <v>43</v>
      </c>
      <c r="N7">
        <f>K2^3-K4^3</f>
        <v>98.578236580988388</v>
      </c>
    </row>
    <row r="9" spans="1:17">
      <c r="A9" t="s">
        <v>48</v>
      </c>
      <c r="B9" t="s">
        <v>49</v>
      </c>
      <c r="C9" t="s">
        <v>50</v>
      </c>
      <c r="D9" t="s">
        <v>51</v>
      </c>
      <c r="E9" t="s">
        <v>53</v>
      </c>
      <c r="F9" t="s">
        <v>0</v>
      </c>
      <c r="G9" t="s">
        <v>8</v>
      </c>
      <c r="H9" t="s">
        <v>14</v>
      </c>
    </row>
    <row r="10" spans="1:17">
      <c r="A10" s="4">
        <v>0</v>
      </c>
      <c r="B10">
        <f>A10+273.15</f>
        <v>273.14999999999998</v>
      </c>
      <c r="C10">
        <f t="shared" ref="C10:C41" si="1">($Q$4-(1/B10))/$Q$2</f>
        <v>-2505.2834737392918</v>
      </c>
      <c r="D10">
        <f>SQRT(($Q$3/(3*$Q$2))^3+(C10^2)/4)</f>
        <v>2005.0822222902787</v>
      </c>
      <c r="E10" s="5">
        <f>EXP((D10-(C10/2))^(1/3)-(D10+(C10/2))^(1/3))</f>
        <v>307.58714114316274</v>
      </c>
      <c r="F10">
        <f>E10*$B$2/(E10+$B$1)</f>
        <v>4.9247487427308867</v>
      </c>
      <c r="G10">
        <f>(F10/$B$2*$B$5)</f>
        <v>1007.6035927627394</v>
      </c>
      <c r="H10" s="4">
        <f>ROUND(G10*$B$3,0)</f>
        <v>16122</v>
      </c>
    </row>
    <row r="11" spans="1:17">
      <c r="A11" s="4">
        <v>5</v>
      </c>
      <c r="B11">
        <f t="shared" ref="B11:B70" si="2">A11+273.15</f>
        <v>278.14999999999998</v>
      </c>
      <c r="C11">
        <f t="shared" si="1"/>
        <v>-2388.4812955151901</v>
      </c>
      <c r="D11">
        <f t="shared" ref="D11:D70" si="3">SQRT(($Q$3/(3*$Q$2))^3+(C11^2)/4)</f>
        <v>1969.1252174387485</v>
      </c>
      <c r="E11" s="5">
        <f t="shared" ref="E11:E70" si="4">EXP((D11-(C11/2))^(1/3)-(D11+(C11/2))^(1/3))</f>
        <v>243.39349551719661</v>
      </c>
      <c r="F11">
        <f>E11*$B$2/(E11+$B$1)</f>
        <v>4.9052776456270655</v>
      </c>
      <c r="G11">
        <f t="shared" ref="G11:G70" si="5">(F11/$B$2*$B$5)</f>
        <v>1003.6198062952975</v>
      </c>
      <c r="H11" s="4">
        <f t="shared" ref="H11:H70" si="6">ROUND(G11*$B$3,0)</f>
        <v>16058</v>
      </c>
    </row>
    <row r="12" spans="1:17">
      <c r="A12" s="4">
        <v>10</v>
      </c>
      <c r="B12">
        <f t="shared" si="2"/>
        <v>283.14999999999998</v>
      </c>
      <c r="C12">
        <f t="shared" si="1"/>
        <v>-2275.8042162924694</v>
      </c>
      <c r="D12">
        <f t="shared" si="3"/>
        <v>1935.4752917359508</v>
      </c>
      <c r="E12" s="5">
        <f t="shared" si="4"/>
        <v>193.51515302672064</v>
      </c>
      <c r="F12">
        <f>E12*$B$2/(E12+$B$1)</f>
        <v>4.8814419602075931</v>
      </c>
      <c r="G12">
        <f t="shared" si="5"/>
        <v>998.74302505847356</v>
      </c>
      <c r="H12" s="4">
        <f t="shared" si="6"/>
        <v>15980</v>
      </c>
    </row>
    <row r="13" spans="1:17">
      <c r="A13" s="4">
        <v>15</v>
      </c>
      <c r="B13">
        <f t="shared" si="2"/>
        <v>288.14999999999998</v>
      </c>
      <c r="C13">
        <f t="shared" si="1"/>
        <v>-2167.0374990070281</v>
      </c>
      <c r="D13">
        <f t="shared" si="3"/>
        <v>1904.0105771035983</v>
      </c>
      <c r="E13" s="5">
        <f t="shared" si="4"/>
        <v>154.57990181492349</v>
      </c>
      <c r="F13">
        <f t="shared" ref="F13:F70" si="7">E13*$B$2/(E13+$B$1)</f>
        <v>4.8524609838891912</v>
      </c>
      <c r="G13">
        <f t="shared" si="5"/>
        <v>992.81351730372853</v>
      </c>
      <c r="H13" s="4">
        <f t="shared" si="6"/>
        <v>15885</v>
      </c>
    </row>
    <row r="14" spans="1:17">
      <c r="A14" s="4">
        <v>20</v>
      </c>
      <c r="B14">
        <f t="shared" si="2"/>
        <v>293.14999999999998</v>
      </c>
      <c r="C14">
        <f t="shared" si="1"/>
        <v>-2061.9810569146775</v>
      </c>
      <c r="D14">
        <f t="shared" si="3"/>
        <v>1874.6159251871998</v>
      </c>
      <c r="E14" s="5">
        <f t="shared" si="4"/>
        <v>124.04849371419556</v>
      </c>
      <c r="F14">
        <f t="shared" si="7"/>
        <v>4.8174735927228252</v>
      </c>
      <c r="G14">
        <f t="shared" si="5"/>
        <v>985.65509707109004</v>
      </c>
      <c r="H14" s="4">
        <f t="shared" si="6"/>
        <v>15770</v>
      </c>
    </row>
    <row r="15" spans="1:17">
      <c r="A15" s="4">
        <v>25</v>
      </c>
      <c r="B15">
        <f t="shared" si="2"/>
        <v>298.14999999999998</v>
      </c>
      <c r="C15">
        <f t="shared" si="1"/>
        <v>-1960.4482251557945</v>
      </c>
      <c r="D15">
        <f t="shared" si="3"/>
        <v>1847.1823700100229</v>
      </c>
      <c r="E15" s="5">
        <f t="shared" si="4"/>
        <v>100.00000000000023</v>
      </c>
      <c r="F15">
        <f t="shared" si="7"/>
        <v>4.7755491881566385</v>
      </c>
      <c r="G15">
        <f t="shared" si="5"/>
        <v>977.07736389684828</v>
      </c>
      <c r="H15" s="4">
        <f t="shared" si="6"/>
        <v>15633</v>
      </c>
    </row>
    <row r="16" spans="1:17">
      <c r="A16" s="4">
        <v>30</v>
      </c>
      <c r="B16">
        <f t="shared" si="2"/>
        <v>303.14999999999998</v>
      </c>
      <c r="C16">
        <f t="shared" si="1"/>
        <v>-1862.2646538870613</v>
      </c>
      <c r="D16">
        <f t="shared" si="3"/>
        <v>1821.6066555313175</v>
      </c>
      <c r="E16" s="5">
        <f t="shared" si="4"/>
        <v>80.97465674689542</v>
      </c>
      <c r="F16">
        <f t="shared" si="7"/>
        <v>4.7257065170459347</v>
      </c>
      <c r="G16">
        <f t="shared" si="5"/>
        <v>966.87955338759821</v>
      </c>
      <c r="H16" s="4">
        <f t="shared" si="6"/>
        <v>15470</v>
      </c>
      <c r="L16" s="6" t="s">
        <v>56</v>
      </c>
    </row>
    <row r="17" spans="1:12">
      <c r="A17" s="4">
        <v>35</v>
      </c>
      <c r="B17">
        <f t="shared" si="2"/>
        <v>308.14999999999998</v>
      </c>
      <c r="C17">
        <f t="shared" si="1"/>
        <v>-1767.2673091725624</v>
      </c>
      <c r="D17">
        <f t="shared" si="3"/>
        <v>1797.7908200661793</v>
      </c>
      <c r="E17" s="5">
        <f t="shared" si="4"/>
        <v>65.85824019503869</v>
      </c>
      <c r="F17">
        <f t="shared" si="7"/>
        <v>4.6669418067253261</v>
      </c>
      <c r="G17">
        <f t="shared" si="5"/>
        <v>954.85629365600175</v>
      </c>
      <c r="H17" s="4">
        <f t="shared" si="6"/>
        <v>15278</v>
      </c>
      <c r="L17" t="s">
        <v>54</v>
      </c>
    </row>
    <row r="18" spans="1:12">
      <c r="A18" s="4">
        <v>40</v>
      </c>
      <c r="B18">
        <f t="shared" si="2"/>
        <v>313.14999999999998</v>
      </c>
      <c r="C18">
        <f t="shared" si="1"/>
        <v>-1675.3035695902522</v>
      </c>
      <c r="D18">
        <f t="shared" si="3"/>
        <v>1775.6418303720993</v>
      </c>
      <c r="E18" s="5">
        <f t="shared" si="4"/>
        <v>53.796594556647754</v>
      </c>
      <c r="F18">
        <f t="shared" si="7"/>
        <v>4.5982672123375874</v>
      </c>
      <c r="G18">
        <f t="shared" si="5"/>
        <v>940.80547164427037</v>
      </c>
      <c r="H18" s="4">
        <f t="shared" si="6"/>
        <v>15053</v>
      </c>
      <c r="L18" t="s">
        <v>55</v>
      </c>
    </row>
    <row r="19" spans="1:12">
      <c r="A19" s="4">
        <v>45</v>
      </c>
      <c r="B19">
        <f t="shared" si="2"/>
        <v>318.14999999999998</v>
      </c>
      <c r="C19">
        <f t="shared" si="1"/>
        <v>-1586.2304080240453</v>
      </c>
      <c r="D19">
        <f t="shared" si="3"/>
        <v>1755.0712589612283</v>
      </c>
      <c r="E19" s="5">
        <f t="shared" si="4"/>
        <v>44.132158703152072</v>
      </c>
      <c r="F19">
        <f t="shared" si="7"/>
        <v>4.5187597553723728</v>
      </c>
      <c r="G19">
        <f t="shared" si="5"/>
        <v>924.53824594918751</v>
      </c>
      <c r="H19" s="4">
        <f t="shared" si="6"/>
        <v>14793</v>
      </c>
    </row>
    <row r="20" spans="1:12">
      <c r="A20" s="4">
        <v>50</v>
      </c>
      <c r="B20">
        <f t="shared" si="2"/>
        <v>323.14999999999998</v>
      </c>
      <c r="C20">
        <f t="shared" si="1"/>
        <v>-1499.9136494151708</v>
      </c>
      <c r="D20">
        <f t="shared" si="3"/>
        <v>1735.9949988759192</v>
      </c>
      <c r="E20" s="5">
        <f t="shared" si="4"/>
        <v>36.356619011908293</v>
      </c>
      <c r="F20">
        <f t="shared" si="7"/>
        <v>4.4276196977353655</v>
      </c>
      <c r="G20">
        <f t="shared" si="5"/>
        <v>905.89099015665579</v>
      </c>
      <c r="H20" s="4">
        <f t="shared" si="6"/>
        <v>14494</v>
      </c>
    </row>
    <row r="21" spans="1:12">
      <c r="A21" s="4">
        <v>55</v>
      </c>
      <c r="B21">
        <f t="shared" si="2"/>
        <v>328.15</v>
      </c>
      <c r="C21">
        <f t="shared" si="1"/>
        <v>-1416.2272963710957</v>
      </c>
      <c r="D21">
        <f t="shared" si="3"/>
        <v>1718.3330107820675</v>
      </c>
      <c r="E21" s="5">
        <f t="shared" si="4"/>
        <v>30.075437724878295</v>
      </c>
      <c r="F21">
        <f t="shared" si="7"/>
        <v>4.3242356807722322</v>
      </c>
      <c r="G21">
        <f t="shared" si="5"/>
        <v>884.73862028599865</v>
      </c>
      <c r="H21" s="4">
        <f t="shared" si="6"/>
        <v>14156</v>
      </c>
    </row>
    <row r="22" spans="1:12">
      <c r="A22" s="4">
        <v>60</v>
      </c>
      <c r="B22">
        <f t="shared" si="2"/>
        <v>333.15</v>
      </c>
      <c r="C22">
        <f t="shared" si="1"/>
        <v>-1335.0529155030392</v>
      </c>
      <c r="D22">
        <f t="shared" si="3"/>
        <v>1702.0090978003054</v>
      </c>
      <c r="E22" s="5">
        <f t="shared" si="4"/>
        <v>24.98116561388396</v>
      </c>
      <c r="F22">
        <f t="shared" si="7"/>
        <v>4.2082521183397397</v>
      </c>
      <c r="G22">
        <f t="shared" si="5"/>
        <v>861.00838341231076</v>
      </c>
      <c r="H22" s="4">
        <f t="shared" si="6"/>
        <v>13776</v>
      </c>
    </row>
    <row r="23" spans="1:12">
      <c r="A23" s="4">
        <v>65</v>
      </c>
      <c r="B23">
        <f t="shared" si="2"/>
        <v>338.15</v>
      </c>
      <c r="C23">
        <f t="shared" si="1"/>
        <v>-1256.2790782064174</v>
      </c>
      <c r="D23">
        <f t="shared" si="3"/>
        <v>1686.9507040164244</v>
      </c>
      <c r="E23" s="5">
        <f t="shared" si="4"/>
        <v>20.83328058197959</v>
      </c>
      <c r="F23">
        <f t="shared" si="7"/>
        <v>4.0796325632913231</v>
      </c>
      <c r="G23">
        <f t="shared" si="5"/>
        <v>834.69282244940473</v>
      </c>
      <c r="H23" s="4">
        <f t="shared" si="6"/>
        <v>13355</v>
      </c>
    </row>
    <row r="24" spans="1:12">
      <c r="A24" s="4">
        <v>70</v>
      </c>
      <c r="B24">
        <f t="shared" si="2"/>
        <v>343.15</v>
      </c>
      <c r="C24">
        <f t="shared" si="1"/>
        <v>-1179.8008503312328</v>
      </c>
      <c r="D24">
        <f t="shared" si="3"/>
        <v>1673.0887330943608</v>
      </c>
      <c r="E24" s="5">
        <f t="shared" si="4"/>
        <v>17.442894911246515</v>
      </c>
      <c r="F24">
        <f t="shared" si="7"/>
        <v>3.9387114876264802</v>
      </c>
      <c r="G24">
        <f t="shared" si="5"/>
        <v>805.86037036837786</v>
      </c>
      <c r="H24" s="4">
        <f t="shared" si="6"/>
        <v>12894</v>
      </c>
    </row>
    <row r="25" spans="1:12">
      <c r="A25" s="4">
        <v>75</v>
      </c>
      <c r="B25">
        <f t="shared" si="2"/>
        <v>348.15</v>
      </c>
      <c r="C25">
        <f t="shared" si="1"/>
        <v>-1105.5193258274455</v>
      </c>
      <c r="D25">
        <f t="shared" si="3"/>
        <v>1660.3573838608395</v>
      </c>
      <c r="E25" s="5">
        <f t="shared" si="4"/>
        <v>14.661109687763208</v>
      </c>
      <c r="F25">
        <f t="shared" si="7"/>
        <v>3.7862265965647262</v>
      </c>
      <c r="G25">
        <f t="shared" si="5"/>
        <v>774.66196165714302</v>
      </c>
      <c r="H25" s="4">
        <f t="shared" si="6"/>
        <v>12395</v>
      </c>
    </row>
    <row r="26" spans="1:12">
      <c r="A26" s="4">
        <v>80</v>
      </c>
      <c r="B26">
        <f t="shared" si="2"/>
        <v>353.15</v>
      </c>
      <c r="C26">
        <f t="shared" si="1"/>
        <v>-1033.3412000070437</v>
      </c>
      <c r="D26">
        <f t="shared" si="3"/>
        <v>1648.6940001421483</v>
      </c>
      <c r="E26" s="5">
        <f t="shared" si="4"/>
        <v>12.370112346678011</v>
      </c>
      <c r="F26">
        <f t="shared" si="7"/>
        <v>3.62332481926674</v>
      </c>
      <c r="G26">
        <f t="shared" si="5"/>
        <v>741.33225802197501</v>
      </c>
      <c r="H26" s="4">
        <f t="shared" si="6"/>
        <v>11861</v>
      </c>
    </row>
    <row r="27" spans="1:12">
      <c r="A27" s="4">
        <v>85</v>
      </c>
      <c r="B27">
        <f t="shared" si="2"/>
        <v>358.15</v>
      </c>
      <c r="C27">
        <f t="shared" si="1"/>
        <v>-963.17837855130563</v>
      </c>
      <c r="D27">
        <f t="shared" si="3"/>
        <v>1638.038932511648</v>
      </c>
      <c r="E27" s="5">
        <f t="shared" si="4"/>
        <v>10.476345460252929</v>
      </c>
      <c r="F27">
        <f t="shared" si="7"/>
        <v>3.4515376207304427</v>
      </c>
      <c r="G27">
        <f t="shared" si="5"/>
        <v>706.18459720144858</v>
      </c>
      <c r="H27" s="4">
        <f t="shared" si="6"/>
        <v>11299</v>
      </c>
    </row>
    <row r="28" spans="1:12">
      <c r="A28" s="4">
        <v>90</v>
      </c>
      <c r="B28">
        <f t="shared" si="2"/>
        <v>363.15</v>
      </c>
      <c r="C28">
        <f t="shared" si="1"/>
        <v>-894.94761881815373</v>
      </c>
      <c r="D28">
        <f t="shared" si="3"/>
        <v>1628.3354099520741</v>
      </c>
      <c r="E28" s="5">
        <f t="shared" si="4"/>
        <v>8.9052454442202311</v>
      </c>
      <c r="F28">
        <f t="shared" si="7"/>
        <v>3.2727250238632593</v>
      </c>
      <c r="G28">
        <f t="shared" si="5"/>
        <v>669.59953988242285</v>
      </c>
      <c r="H28" s="4">
        <f t="shared" si="6"/>
        <v>10714</v>
      </c>
    </row>
    <row r="29" spans="1:12">
      <c r="A29" s="4">
        <v>95</v>
      </c>
      <c r="B29">
        <f t="shared" si="2"/>
        <v>368.15</v>
      </c>
      <c r="C29">
        <f t="shared" si="1"/>
        <v>-828.57020037885388</v>
      </c>
      <c r="D29">
        <f t="shared" si="3"/>
        <v>1619.5294197499725</v>
      </c>
      <c r="E29" s="5">
        <f t="shared" si="4"/>
        <v>7.5971756558171641</v>
      </c>
      <c r="F29">
        <f t="shared" si="7"/>
        <v>3.0889920858466922</v>
      </c>
      <c r="G29">
        <f t="shared" si="5"/>
        <v>632.0077807642333</v>
      </c>
      <c r="H29" s="4">
        <f t="shared" si="6"/>
        <v>10112</v>
      </c>
    </row>
    <row r="30" spans="1:12">
      <c r="A30" s="4">
        <v>100</v>
      </c>
      <c r="B30">
        <f t="shared" si="2"/>
        <v>373.15</v>
      </c>
      <c r="C30">
        <f t="shared" si="1"/>
        <v>-763.9716220424425</v>
      </c>
      <c r="D30">
        <f t="shared" si="3"/>
        <v>1611.5695942211923</v>
      </c>
      <c r="E30" s="5">
        <f t="shared" si="4"/>
        <v>6.5042715159363089</v>
      </c>
      <c r="F30">
        <f t="shared" si="7"/>
        <v>2.9025856373995436</v>
      </c>
      <c r="G30">
        <f t="shared" si="5"/>
        <v>593.86902141194662</v>
      </c>
      <c r="H30" s="4">
        <f t="shared" si="6"/>
        <v>9502</v>
      </c>
    </row>
    <row r="31" spans="1:12">
      <c r="A31" s="4">
        <v>105</v>
      </c>
      <c r="B31">
        <f t="shared" si="2"/>
        <v>378.15</v>
      </c>
      <c r="C31">
        <f t="shared" si="1"/>
        <v>-701.08132291630329</v>
      </c>
      <c r="D31">
        <f t="shared" si="3"/>
        <v>1604.4071031169854</v>
      </c>
      <c r="E31" s="5">
        <f t="shared" si="4"/>
        <v>5.5879845455137325</v>
      </c>
      <c r="F31">
        <f t="shared" si="7"/>
        <v>2.7157819497067952</v>
      </c>
      <c r="G31">
        <f t="shared" si="5"/>
        <v>555.64898691001031</v>
      </c>
      <c r="H31" s="4">
        <f t="shared" si="6"/>
        <v>8890</v>
      </c>
    </row>
    <row r="32" spans="1:12">
      <c r="A32" s="4">
        <v>110</v>
      </c>
      <c r="B32">
        <f t="shared" si="2"/>
        <v>383.15</v>
      </c>
      <c r="C32">
        <f t="shared" si="1"/>
        <v>-639.83242530722305</v>
      </c>
      <c r="D32">
        <f t="shared" si="3"/>
        <v>1597.9955507808365</v>
      </c>
      <c r="E32" s="5">
        <f t="shared" si="4"/>
        <v>4.8171638908203125</v>
      </c>
      <c r="F32">
        <f t="shared" si="7"/>
        <v>2.5307769972663077</v>
      </c>
      <c r="G32">
        <f t="shared" si="5"/>
        <v>517.79697364068647</v>
      </c>
      <c r="H32" s="4">
        <f t="shared" si="6"/>
        <v>8285</v>
      </c>
    </row>
    <row r="33" spans="1:8">
      <c r="A33" s="4">
        <v>115</v>
      </c>
      <c r="B33">
        <f t="shared" si="2"/>
        <v>388.15</v>
      </c>
      <c r="C33">
        <f t="shared" si="1"/>
        <v>-580.16149749355941</v>
      </c>
      <c r="D33">
        <f t="shared" si="3"/>
        <v>1592.2908773180266</v>
      </c>
      <c r="E33" s="5">
        <f t="shared" si="4"/>
        <v>4.1665526259767702</v>
      </c>
      <c r="F33">
        <f t="shared" si="7"/>
        <v>2.3495899712870472</v>
      </c>
      <c r="G33">
        <f t="shared" si="5"/>
        <v>480.72610812532986</v>
      </c>
      <c r="H33" s="4">
        <f t="shared" si="6"/>
        <v>7692</v>
      </c>
    </row>
    <row r="34" spans="1:8">
      <c r="A34" s="4">
        <v>120</v>
      </c>
      <c r="B34">
        <f t="shared" si="2"/>
        <v>393.15</v>
      </c>
      <c r="C34">
        <f t="shared" si="1"/>
        <v>-522.00833459948444</v>
      </c>
      <c r="D34">
        <f t="shared" si="3"/>
        <v>1587.251263204585</v>
      </c>
      <c r="E34" s="5">
        <f t="shared" si="4"/>
        <v>3.615605224284435</v>
      </c>
      <c r="F34">
        <f t="shared" si="7"/>
        <v>2.1739880181695139</v>
      </c>
      <c r="G34">
        <f t="shared" si="5"/>
        <v>444.79794851748255</v>
      </c>
      <c r="H34" s="4">
        <f t="shared" si="6"/>
        <v>7117</v>
      </c>
    </row>
    <row r="35" spans="1:8">
      <c r="A35" s="4">
        <v>125</v>
      </c>
      <c r="B35">
        <f t="shared" si="2"/>
        <v>398.15</v>
      </c>
      <c r="C35">
        <f t="shared" si="1"/>
        <v>-465.3157559800328</v>
      </c>
      <c r="D35">
        <f t="shared" si="3"/>
        <v>1582.8370369016311</v>
      </c>
      <c r="E35" s="5">
        <f t="shared" si="4"/>
        <v>3.1475545462369756</v>
      </c>
      <c r="F35">
        <f t="shared" si="7"/>
        <v>2.0054365520442778</v>
      </c>
      <c r="G35">
        <f t="shared" si="5"/>
        <v>410.31231854825927</v>
      </c>
      <c r="H35" s="4">
        <f t="shared" si="6"/>
        <v>6565</v>
      </c>
    </row>
    <row r="36" spans="1:8">
      <c r="A36" s="4">
        <v>130</v>
      </c>
      <c r="B36">
        <f t="shared" si="2"/>
        <v>403.15</v>
      </c>
      <c r="C36">
        <f t="shared" si="1"/>
        <v>-410.0294176835236</v>
      </c>
      <c r="D36">
        <f t="shared" si="3"/>
        <v>1579.0105851571075</v>
      </c>
      <c r="E36" s="5">
        <f t="shared" si="4"/>
        <v>2.7486733140448525</v>
      </c>
      <c r="F36">
        <f t="shared" si="7"/>
        <v>1.8450757592376141</v>
      </c>
      <c r="G36">
        <f t="shared" si="5"/>
        <v>377.50250034001584</v>
      </c>
      <c r="H36" s="4">
        <f t="shared" si="6"/>
        <v>6040</v>
      </c>
    </row>
    <row r="37" spans="1:8">
      <c r="A37" s="4">
        <v>135</v>
      </c>
      <c r="B37">
        <f t="shared" si="2"/>
        <v>408.15</v>
      </c>
      <c r="C37">
        <f t="shared" si="1"/>
        <v>-356.09763869845597</v>
      </c>
      <c r="D37">
        <f t="shared" si="3"/>
        <v>1575.7362657717733</v>
      </c>
      <c r="E37" s="5">
        <f t="shared" si="4"/>
        <v>2.407687668976028</v>
      </c>
      <c r="F37">
        <f t="shared" si="7"/>
        <v>1.6937207859352184</v>
      </c>
      <c r="G37">
        <f t="shared" si="5"/>
        <v>346.53527280234567</v>
      </c>
      <c r="H37" s="4">
        <f t="shared" si="6"/>
        <v>5545</v>
      </c>
    </row>
    <row r="38" spans="1:8">
      <c r="A38" s="4">
        <v>140</v>
      </c>
      <c r="B38">
        <f t="shared" si="2"/>
        <v>413.15</v>
      </c>
      <c r="C38">
        <f t="shared" si="1"/>
        <v>-303.47123981710655</v>
      </c>
      <c r="D38">
        <f t="shared" si="3"/>
        <v>1572.9803226823124</v>
      </c>
      <c r="E38" s="5">
        <f t="shared" si="4"/>
        <v>2.115310031218554</v>
      </c>
      <c r="F38">
        <f t="shared" si="7"/>
        <v>1.5518810013990982</v>
      </c>
      <c r="G38">
        <f t="shared" si="5"/>
        <v>317.51485288625548</v>
      </c>
      <c r="H38" s="4">
        <f t="shared" si="6"/>
        <v>5080</v>
      </c>
    </row>
    <row r="39" spans="1:8">
      <c r="A39" s="4">
        <v>145</v>
      </c>
      <c r="B39">
        <f t="shared" si="2"/>
        <v>418.15</v>
      </c>
      <c r="C39">
        <f t="shared" si="1"/>
        <v>-252.10339405978709</v>
      </c>
      <c r="D39">
        <f t="shared" si="3"/>
        <v>1570.710803273739</v>
      </c>
      <c r="E39" s="5">
        <f t="shared" si="4"/>
        <v>1.8638658405662394</v>
      </c>
      <c r="F39">
        <f t="shared" si="7"/>
        <v>1.419792760728829</v>
      </c>
      <c r="G39">
        <f t="shared" si="5"/>
        <v>290.48959884511845</v>
      </c>
      <c r="H39" s="4">
        <f t="shared" si="6"/>
        <v>4648</v>
      </c>
    </row>
    <row r="40" spans="1:8">
      <c r="A40" s="4">
        <v>150</v>
      </c>
      <c r="B40">
        <f t="shared" si="2"/>
        <v>423.15</v>
      </c>
      <c r="C40">
        <f t="shared" si="1"/>
        <v>-201.94948770356217</v>
      </c>
      <c r="D40">
        <f t="shared" si="3"/>
        <v>1568.8974778782238</v>
      </c>
      <c r="E40" s="5">
        <f t="shared" si="4"/>
        <v>1.6469944011096846</v>
      </c>
      <c r="F40">
        <f t="shared" si="7"/>
        <v>1.2974601023925043</v>
      </c>
      <c r="G40">
        <f t="shared" si="5"/>
        <v>265.46033694950637</v>
      </c>
      <c r="H40" s="4">
        <f t="shared" si="6"/>
        <v>4247</v>
      </c>
    </row>
    <row r="41" spans="1:8">
      <c r="A41" s="4">
        <v>155</v>
      </c>
      <c r="B41">
        <f t="shared" si="2"/>
        <v>428.15</v>
      </c>
      <c r="C41">
        <f t="shared" si="1"/>
        <v>-152.96699104852235</v>
      </c>
      <c r="D41">
        <f t="shared" si="3"/>
        <v>1567.5117614500787</v>
      </c>
      <c r="E41" s="5">
        <f t="shared" si="4"/>
        <v>1.4594083970564509</v>
      </c>
      <c r="F41">
        <f t="shared" si="7"/>
        <v>1.1846985156511902</v>
      </c>
      <c r="G41">
        <f t="shared" si="5"/>
        <v>242.38931630223351</v>
      </c>
      <c r="H41" s="4">
        <f t="shared" si="6"/>
        <v>3878</v>
      </c>
    </row>
    <row r="42" spans="1:8">
      <c r="A42" s="4">
        <v>160</v>
      </c>
      <c r="B42">
        <f t="shared" si="2"/>
        <v>433.15</v>
      </c>
      <c r="C42">
        <f t="shared" ref="C42:C70" si="8">($Q$4-(1/B42))/$Q$2</f>
        <v>-105.11533813479721</v>
      </c>
      <c r="D42">
        <f t="shared" si="3"/>
        <v>1566.5266374289704</v>
      </c>
      <c r="E42" s="5">
        <f t="shared" si="4"/>
        <v>1.2966999999999962</v>
      </c>
      <c r="F42">
        <f t="shared" si="7"/>
        <v>1.0811779812230036</v>
      </c>
      <c r="G42">
        <f t="shared" si="5"/>
        <v>221.20901495822653</v>
      </c>
      <c r="H42" s="4">
        <f t="shared" si="6"/>
        <v>3539</v>
      </c>
    </row>
    <row r="43" spans="1:8">
      <c r="A43" s="4">
        <v>165</v>
      </c>
      <c r="B43">
        <f t="shared" si="2"/>
        <v>438.15</v>
      </c>
      <c r="C43">
        <f t="shared" si="8"/>
        <v>-58.355814695309967</v>
      </c>
      <c r="D43">
        <f t="shared" si="3"/>
        <v>1565.9165838172564</v>
      </c>
      <c r="E43" s="5">
        <f t="shared" si="4"/>
        <v>1.1551840842751822</v>
      </c>
      <c r="F43">
        <f t="shared" si="7"/>
        <v>0.98646265228242047</v>
      </c>
      <c r="G43">
        <f t="shared" si="5"/>
        <v>201.83025865698323</v>
      </c>
      <c r="H43" s="4">
        <f t="shared" si="6"/>
        <v>3229</v>
      </c>
    </row>
    <row r="44" spans="1:8">
      <c r="A44" s="4">
        <v>170</v>
      </c>
      <c r="B44">
        <f t="shared" si="2"/>
        <v>443.15</v>
      </c>
      <c r="C44">
        <f t="shared" si="8"/>
        <v>-12.65145369381124</v>
      </c>
      <c r="D44">
        <f t="shared" si="3"/>
        <v>1565.6575015043552</v>
      </c>
      <c r="E44" s="5">
        <f t="shared" si="4"/>
        <v>1.0317710833570697</v>
      </c>
      <c r="F44">
        <f t="shared" si="7"/>
        <v>0.90004561273647943</v>
      </c>
      <c r="G44">
        <f t="shared" si="5"/>
        <v>184.14933236588371</v>
      </c>
      <c r="H44" s="4">
        <f t="shared" si="6"/>
        <v>2946</v>
      </c>
    </row>
    <row r="45" spans="1:8">
      <c r="A45" s="4">
        <v>175</v>
      </c>
      <c r="B45">
        <f t="shared" si="2"/>
        <v>448.15</v>
      </c>
      <c r="C45">
        <f t="shared" si="8"/>
        <v>32.033062144204138</v>
      </c>
      <c r="D45">
        <f t="shared" si="3"/>
        <v>1565.7266448726937</v>
      </c>
      <c r="E45" s="5">
        <f t="shared" si="4"/>
        <v>0.92386359078067604</v>
      </c>
      <c r="F45">
        <f t="shared" si="7"/>
        <v>0.82137802230408474</v>
      </c>
      <c r="G45">
        <f t="shared" si="5"/>
        <v>168.05394336341575</v>
      </c>
      <c r="H45" s="4">
        <f t="shared" si="6"/>
        <v>2689</v>
      </c>
    </row>
    <row r="46" spans="1:8">
      <c r="A46" s="4">
        <v>180</v>
      </c>
      <c r="B46">
        <f t="shared" si="2"/>
        <v>453.15</v>
      </c>
      <c r="C46">
        <f t="shared" si="8"/>
        <v>75.731491347815208</v>
      </c>
      <c r="D46">
        <f t="shared" si="3"/>
        <v>1566.1025547173338</v>
      </c>
      <c r="E46" s="5">
        <f t="shared" si="4"/>
        <v>0.82927203590801868</v>
      </c>
      <c r="F46">
        <f t="shared" si="7"/>
        <v>0.74989259935357422</v>
      </c>
      <c r="G46">
        <f t="shared" si="5"/>
        <v>153.42802582774127</v>
      </c>
      <c r="H46" s="4">
        <f t="shared" si="6"/>
        <v>2455</v>
      </c>
    </row>
    <row r="47" spans="1:8">
      <c r="A47" s="4">
        <v>185</v>
      </c>
      <c r="B47">
        <f t="shared" si="2"/>
        <v>458.15</v>
      </c>
      <c r="C47">
        <f t="shared" si="8"/>
        <v>118.47611875717587</v>
      </c>
      <c r="D47">
        <f t="shared" si="3"/>
        <v>1566.7649935059371</v>
      </c>
      <c r="E47" s="5">
        <f t="shared" si="4"/>
        <v>0.74614572600155726</v>
      </c>
      <c r="F47">
        <f t="shared" si="7"/>
        <v>0.68502181500508752</v>
      </c>
      <c r="G47">
        <f t="shared" si="5"/>
        <v>140.15546335004092</v>
      </c>
      <c r="H47" s="4">
        <f t="shared" si="6"/>
        <v>2242</v>
      </c>
    </row>
    <row r="48" spans="1:8">
      <c r="A48" s="4">
        <v>190</v>
      </c>
      <c r="B48">
        <f t="shared" si="2"/>
        <v>463.15</v>
      </c>
      <c r="C48">
        <f t="shared" si="8"/>
        <v>160.29783507057664</v>
      </c>
      <c r="D48">
        <f t="shared" si="3"/>
        <v>1567.6948829982182</v>
      </c>
      <c r="E48" s="5">
        <f t="shared" si="4"/>
        <v>0.67291630116029011</v>
      </c>
      <c r="F48">
        <f t="shared" si="7"/>
        <v>0.6262114124269651</v>
      </c>
      <c r="G48">
        <f t="shared" si="5"/>
        <v>128.12285498255704</v>
      </c>
      <c r="H48" s="4">
        <f t="shared" si="6"/>
        <v>2050</v>
      </c>
    </row>
    <row r="49" spans="1:8">
      <c r="A49" s="4">
        <v>195</v>
      </c>
      <c r="B49">
        <f t="shared" si="2"/>
        <v>468.15</v>
      </c>
      <c r="C49">
        <f t="shared" si="8"/>
        <v>201.22621129397646</v>
      </c>
      <c r="D49">
        <f t="shared" si="3"/>
        <v>1568.8742442352257</v>
      </c>
      <c r="E49" s="5">
        <f t="shared" si="4"/>
        <v>0.60825124355793303</v>
      </c>
      <c r="F49">
        <f t="shared" si="7"/>
        <v>0.57292996850526212</v>
      </c>
      <c r="G49">
        <f t="shared" si="5"/>
        <v>117.22147155617662</v>
      </c>
      <c r="H49" s="4">
        <f t="shared" si="6"/>
        <v>1876</v>
      </c>
    </row>
    <row r="50" spans="1:8">
      <c r="A50" s="4">
        <v>200</v>
      </c>
      <c r="B50">
        <f t="shared" si="2"/>
        <v>473.15</v>
      </c>
      <c r="C50">
        <f t="shared" si="8"/>
        <v>241.28956847006816</v>
      </c>
      <c r="D50">
        <f t="shared" si="3"/>
        <v>1570.2861398992977</v>
      </c>
      <c r="E50" s="5">
        <f t="shared" si="4"/>
        <v>0.55101555237506017</v>
      </c>
      <c r="F50">
        <f t="shared" si="7"/>
        <v>0.52467522413434209</v>
      </c>
      <c r="G50">
        <f t="shared" si="5"/>
        <v>107.34855085788638</v>
      </c>
      <c r="H50" s="4">
        <f t="shared" si="6"/>
        <v>1718</v>
      </c>
    </row>
    <row r="51" spans="1:8">
      <c r="A51" s="4">
        <v>205</v>
      </c>
      <c r="B51">
        <f t="shared" si="2"/>
        <v>478.15</v>
      </c>
      <c r="C51">
        <f t="shared" si="8"/>
        <v>280.51504303241717</v>
      </c>
      <c r="D51">
        <f t="shared" si="3"/>
        <v>1571.9146190358395</v>
      </c>
      <c r="E51" s="5">
        <f t="shared" si="4"/>
        <v>0.50024006808256871</v>
      </c>
      <c r="F51">
        <f t="shared" si="7"/>
        <v>0.48097786018849809</v>
      </c>
      <c r="G51">
        <f t="shared" si="5"/>
        <v>98.408070194566704</v>
      </c>
      <c r="H51" s="4">
        <f t="shared" si="6"/>
        <v>1575</v>
      </c>
    </row>
    <row r="52" spans="1:8">
      <c r="A52" s="4">
        <v>210</v>
      </c>
      <c r="B52">
        <f t="shared" si="2"/>
        <v>483.15</v>
      </c>
      <c r="C52">
        <f t="shared" si="8"/>
        <v>318.92864810159926</v>
      </c>
      <c r="D52">
        <f t="shared" si="3"/>
        <v>1573.7446641185784</v>
      </c>
      <c r="E52" s="5">
        <f t="shared" si="4"/>
        <v>0.45509522540745828</v>
      </c>
      <c r="F52">
        <f t="shared" si="7"/>
        <v>0.44140331604785005</v>
      </c>
      <c r="G52">
        <f t="shared" si="5"/>
        <v>90.311118463390116</v>
      </c>
      <c r="H52" s="4">
        <f t="shared" si="6"/>
        <v>1445</v>
      </c>
    </row>
    <row r="53" spans="1:8">
      <c r="A53" s="4">
        <v>215</v>
      </c>
      <c r="B53">
        <f t="shared" si="2"/>
        <v>488.15</v>
      </c>
      <c r="C53">
        <f t="shared" si="8"/>
        <v>356.55533101428915</v>
      </c>
      <c r="D53">
        <f t="shared" si="3"/>
        <v>1575.7621404309077</v>
      </c>
      <c r="E53" s="5">
        <f t="shared" si="4"/>
        <v>0.41486924977255363</v>
      </c>
      <c r="F53">
        <f t="shared" si="7"/>
        <v>0.40555215540553835</v>
      </c>
      <c r="G53">
        <f t="shared" si="5"/>
        <v>82.975970995973142</v>
      </c>
      <c r="H53" s="4">
        <f t="shared" si="6"/>
        <v>1328</v>
      </c>
    </row>
    <row r="54" spans="1:8">
      <c r="A54" s="4">
        <v>220</v>
      </c>
      <c r="B54">
        <f t="shared" si="2"/>
        <v>493.15</v>
      </c>
      <c r="C54">
        <f t="shared" si="8"/>
        <v>393.41902735265649</v>
      </c>
      <c r="D54">
        <f t="shared" si="3"/>
        <v>1577.953747727574</v>
      </c>
      <c r="E54" s="5">
        <f t="shared" si="4"/>
        <v>0.37894999999999973</v>
      </c>
      <c r="F54">
        <f t="shared" si="7"/>
        <v>0.37305939219720585</v>
      </c>
      <c r="G54">
        <f t="shared" si="5"/>
        <v>76.327951643548317</v>
      </c>
      <c r="H54" s="4">
        <f t="shared" si="6"/>
        <v>1221</v>
      </c>
    </row>
    <row r="55" spans="1:8">
      <c r="A55" s="4">
        <v>225</v>
      </c>
      <c r="B55">
        <f t="shared" si="2"/>
        <v>498.15</v>
      </c>
      <c r="C55">
        <f t="shared" si="8"/>
        <v>429.54271171996385</v>
      </c>
      <c r="D55">
        <f t="shared" si="3"/>
        <v>1580.3069741333973</v>
      </c>
      <c r="E55" s="5">
        <f t="shared" si="4"/>
        <v>0.34680981055765114</v>
      </c>
      <c r="F55">
        <f t="shared" si="7"/>
        <v>0.34359310492753653</v>
      </c>
      <c r="G55">
        <f t="shared" si="5"/>
        <v>70.299149268173977</v>
      </c>
      <c r="H55" s="4">
        <f t="shared" si="6"/>
        <v>1125</v>
      </c>
    </row>
    <row r="56" spans="1:8">
      <c r="A56" s="4">
        <v>230</v>
      </c>
      <c r="B56">
        <f t="shared" si="2"/>
        <v>503.15</v>
      </c>
      <c r="C56">
        <f t="shared" si="8"/>
        <v>464.94844548869617</v>
      </c>
      <c r="D56">
        <f t="shared" si="3"/>
        <v>1582.8100522290435</v>
      </c>
      <c r="E56" s="5">
        <f t="shared" si="4"/>
        <v>0.31799280739708957</v>
      </c>
      <c r="F56">
        <f t="shared" si="7"/>
        <v>0.31685259385817782</v>
      </c>
      <c r="G56">
        <f t="shared" si="5"/>
        <v>64.828040703383181</v>
      </c>
      <c r="H56" s="4">
        <f t="shared" si="6"/>
        <v>1037</v>
      </c>
    </row>
    <row r="57" spans="1:8">
      <c r="A57" s="4">
        <v>235</v>
      </c>
      <c r="B57">
        <f t="shared" si="2"/>
        <v>508.15</v>
      </c>
      <c r="C57">
        <f t="shared" si="8"/>
        <v>499.65742172975541</v>
      </c>
      <c r="D57">
        <f t="shared" si="3"/>
        <v>1585.4519172681098</v>
      </c>
      <c r="E57" s="5">
        <f t="shared" si="4"/>
        <v>0.29210426859402561</v>
      </c>
      <c r="F57">
        <f t="shared" si="7"/>
        <v>0.29256627353688441</v>
      </c>
      <c r="G57">
        <f t="shared" si="5"/>
        <v>59.859059565646547</v>
      </c>
      <c r="H57" s="4">
        <f t="shared" si="6"/>
        <v>958</v>
      </c>
    </row>
    <row r="58" spans="1:8">
      <c r="A58" s="4">
        <v>240</v>
      </c>
      <c r="B58">
        <f t="shared" si="2"/>
        <v>513.15</v>
      </c>
      <c r="C58">
        <f t="shared" si="8"/>
        <v>533.6900075149814</v>
      </c>
      <c r="D58">
        <f t="shared" si="3"/>
        <v>1588.2221674649468</v>
      </c>
      <c r="E58" s="5">
        <f t="shared" si="4"/>
        <v>0.26880167936426608</v>
      </c>
      <c r="F58">
        <f t="shared" si="7"/>
        <v>0.27048944263625541</v>
      </c>
      <c r="G58">
        <f t="shared" si="5"/>
        <v>55.342139963377853</v>
      </c>
      <c r="H58" s="4">
        <f t="shared" si="6"/>
        <v>885</v>
      </c>
    </row>
    <row r="59" spans="1:8">
      <c r="A59" s="4">
        <v>245</v>
      </c>
      <c r="B59">
        <f t="shared" si="2"/>
        <v>518.15</v>
      </c>
      <c r="C59">
        <f t="shared" si="8"/>
        <v>567.06578377043343</v>
      </c>
      <c r="D59">
        <f t="shared" si="3"/>
        <v>1591.1110262887103</v>
      </c>
      <c r="E59" s="5">
        <f t="shared" si="4"/>
        <v>0.24778719438292601</v>
      </c>
      <c r="F59">
        <f t="shared" si="7"/>
        <v>0.25040203291709001</v>
      </c>
      <c r="G59">
        <f t="shared" si="5"/>
        <v>51.232255934836616</v>
      </c>
      <c r="H59" s="4">
        <f t="shared" si="6"/>
        <v>820</v>
      </c>
    </row>
    <row r="60" spans="1:8">
      <c r="A60" s="4">
        <v>250</v>
      </c>
      <c r="B60">
        <f t="shared" si="2"/>
        <v>523.15</v>
      </c>
      <c r="C60">
        <f t="shared" si="8"/>
        <v>599.80358284428496</v>
      </c>
      <c r="D60">
        <f t="shared" si="3"/>
        <v>1594.1093066960398</v>
      </c>
      <c r="E60" s="5">
        <f t="shared" si="4"/>
        <v>0.22880127167870812</v>
      </c>
      <c r="F60">
        <f t="shared" si="7"/>
        <v>0.23210640789416567</v>
      </c>
      <c r="G60">
        <f t="shared" si="5"/>
        <v>47.488971055146301</v>
      </c>
      <c r="H60" s="4">
        <f t="shared" si="6"/>
        <v>760</v>
      </c>
    </row>
    <row r="61" spans="1:8">
      <c r="A61" s="4">
        <v>255</v>
      </c>
      <c r="B61">
        <f t="shared" si="2"/>
        <v>528.15</v>
      </c>
      <c r="C61">
        <f t="shared" si="8"/>
        <v>631.92152394078414</v>
      </c>
      <c r="D61">
        <f t="shared" si="3"/>
        <v>1597.2083772324854</v>
      </c>
      <c r="E61" s="5">
        <f t="shared" si="4"/>
        <v>0.21161728408469263</v>
      </c>
      <c r="F61">
        <f t="shared" si="7"/>
        <v>0.21542525795974013</v>
      </c>
      <c r="G61">
        <f t="shared" si="5"/>
        <v>44.076007778562833</v>
      </c>
      <c r="H61" s="4">
        <f t="shared" si="6"/>
        <v>705</v>
      </c>
    </row>
    <row r="62" spans="1:8">
      <c r="A62" s="4">
        <v>260</v>
      </c>
      <c r="B62">
        <f t="shared" si="2"/>
        <v>533.15</v>
      </c>
      <c r="C62">
        <f t="shared" si="8"/>
        <v>663.43704656037278</v>
      </c>
      <c r="D62">
        <f t="shared" si="3"/>
        <v>1600.4001299312324</v>
      </c>
      <c r="E62" s="5">
        <f t="shared" si="4"/>
        <v>0.19603694818931938</v>
      </c>
      <c r="F62">
        <f t="shared" si="7"/>
        <v>0.20019962090136889</v>
      </c>
      <c r="G62">
        <f t="shared" si="5"/>
        <v>40.96084243642008</v>
      </c>
      <c r="H62" s="4">
        <f t="shared" si="6"/>
        <v>655</v>
      </c>
    </row>
    <row r="63" spans="1:8">
      <c r="A63" s="4">
        <v>265</v>
      </c>
      <c r="B63">
        <f t="shared" si="2"/>
        <v>538.15</v>
      </c>
      <c r="C63">
        <f t="shared" si="8"/>
        <v>694.36694207562959</v>
      </c>
      <c r="D63">
        <f t="shared" si="3"/>
        <v>1603.6769499367956</v>
      </c>
      <c r="E63" s="5">
        <f t="shared" si="4"/>
        <v>0.18188643844932528</v>
      </c>
      <c r="F63">
        <f t="shared" si="7"/>
        <v>0.18628704368950808</v>
      </c>
      <c r="G63">
        <f t="shared" si="5"/>
        <v>38.114329138873352</v>
      </c>
      <c r="H63" s="4">
        <f t="shared" si="6"/>
        <v>610</v>
      </c>
    </row>
    <row r="64" spans="1:8">
      <c r="A64" s="4">
        <v>270</v>
      </c>
      <c r="B64">
        <f t="shared" si="2"/>
        <v>543.15</v>
      </c>
      <c r="C64">
        <f t="shared" si="8"/>
        <v>724.72738356317348</v>
      </c>
      <c r="D64">
        <f t="shared" si="3"/>
        <v>1607.0316867810352</v>
      </c>
      <c r="E64" s="5">
        <f t="shared" si="4"/>
        <v>0.16901307679973449</v>
      </c>
      <c r="F64">
        <f t="shared" si="7"/>
        <v>0.17355989204985051</v>
      </c>
      <c r="G64">
        <f t="shared" si="5"/>
        <v>35.510353913399413</v>
      </c>
      <c r="H64" s="4">
        <f t="shared" si="6"/>
        <v>568</v>
      </c>
    </row>
    <row r="65" spans="1:8">
      <c r="A65" s="4">
        <v>275</v>
      </c>
      <c r="B65">
        <f t="shared" si="2"/>
        <v>548.15</v>
      </c>
      <c r="C65">
        <f t="shared" si="8"/>
        <v>754.53395400287343</v>
      </c>
      <c r="D65">
        <f t="shared" si="3"/>
        <v>1610.457627239078</v>
      </c>
      <c r="E65" s="5">
        <f t="shared" si="4"/>
        <v>0.15728250668476457</v>
      </c>
      <c r="F65">
        <f t="shared" si="7"/>
        <v>0.1619038078064296</v>
      </c>
      <c r="G65">
        <f t="shared" si="5"/>
        <v>33.125519077195499</v>
      </c>
      <c r="H65" s="4">
        <f t="shared" si="6"/>
        <v>530</v>
      </c>
    </row>
    <row r="66" spans="1:8">
      <c r="A66" s="4">
        <v>280</v>
      </c>
      <c r="B66">
        <f t="shared" si="2"/>
        <v>553.15</v>
      </c>
      <c r="C66">
        <f t="shared" si="8"/>
        <v>783.80167294768626</v>
      </c>
      <c r="D66">
        <f t="shared" si="3"/>
        <v>1613.9484696933841</v>
      </c>
      <c r="E66" s="5">
        <f t="shared" si="4"/>
        <v>0.1465762757070736</v>
      </c>
      <c r="F66">
        <f t="shared" si="7"/>
        <v>0.15121630958515081</v>
      </c>
      <c r="G66">
        <f t="shared" si="5"/>
        <v>30.938856941121855</v>
      </c>
      <c r="H66" s="4">
        <f t="shared" si="6"/>
        <v>495</v>
      </c>
    </row>
    <row r="67" spans="1:8">
      <c r="A67" s="4">
        <v>285</v>
      </c>
      <c r="B67">
        <f t="shared" si="2"/>
        <v>558.15</v>
      </c>
      <c r="C67">
        <f t="shared" si="8"/>
        <v>812.54502176001108</v>
      </c>
      <c r="D67">
        <f t="shared" si="3"/>
        <v>1617.4982999352619</v>
      </c>
      <c r="E67" s="5">
        <f t="shared" si="4"/>
        <v>0.13678976367020568</v>
      </c>
      <c r="F67">
        <f t="shared" si="7"/>
        <v>0.14140552965280034</v>
      </c>
      <c r="G67">
        <f t="shared" si="5"/>
        <v>28.931571366962949</v>
      </c>
      <c r="H67" s="4">
        <f t="shared" si="6"/>
        <v>463</v>
      </c>
    </row>
    <row r="68" spans="1:8">
      <c r="A68" s="4">
        <v>290</v>
      </c>
      <c r="B68">
        <f t="shared" si="2"/>
        <v>563.15</v>
      </c>
      <c r="C68">
        <f t="shared" si="8"/>
        <v>840.77796750366269</v>
      </c>
      <c r="D68">
        <f t="shared" si="3"/>
        <v>1621.1015683345124</v>
      </c>
      <c r="E68" s="5">
        <f t="shared" si="4"/>
        <v>0.12783040316838468</v>
      </c>
      <c r="F68">
        <f t="shared" si="7"/>
        <v>0.13238907800540464</v>
      </c>
      <c r="G68">
        <f t="shared" si="5"/>
        <v>27.086805359905792</v>
      </c>
      <c r="H68" s="4">
        <f t="shared" si="6"/>
        <v>433</v>
      </c>
    </row>
    <row r="69" spans="1:8">
      <c r="A69" s="4">
        <v>295</v>
      </c>
      <c r="B69">
        <f t="shared" si="2"/>
        <v>568.15</v>
      </c>
      <c r="C69">
        <f t="shared" si="8"/>
        <v>868.5139855742766</v>
      </c>
      <c r="D69">
        <f t="shared" si="3"/>
        <v>1624.7530683095347</v>
      </c>
      <c r="E69" s="5">
        <f t="shared" si="4"/>
        <v>0.1196161484616107</v>
      </c>
      <c r="F69">
        <f t="shared" si="7"/>
        <v>0.12409302398469158</v>
      </c>
      <c r="G69">
        <f t="shared" si="5"/>
        <v>25.389432707267897</v>
      </c>
      <c r="H69" s="4">
        <f t="shared" si="6"/>
        <v>406</v>
      </c>
    </row>
    <row r="70" spans="1:8">
      <c r="A70" s="4">
        <v>300</v>
      </c>
      <c r="B70">
        <f t="shared" si="2"/>
        <v>573.15</v>
      </c>
      <c r="C70">
        <f t="shared" si="8"/>
        <v>895.76608114518478</v>
      </c>
      <c r="D70">
        <f t="shared" si="3"/>
        <v>1628.4479160320936</v>
      </c>
      <c r="E70" s="5">
        <f t="shared" si="4"/>
        <v>0.11207415548770615</v>
      </c>
      <c r="F70">
        <f t="shared" si="7"/>
        <v>0.11645098544449525</v>
      </c>
      <c r="G70">
        <f t="shared" si="5"/>
        <v>23.82587162194373</v>
      </c>
      <c r="H70" s="4">
        <f t="shared" si="6"/>
        <v>381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7"/>
  <dimension ref="A1:A7"/>
  <sheetViews>
    <sheetView workbookViewId="0">
      <selection activeCell="L18" sqref="L18"/>
    </sheetView>
  </sheetViews>
  <sheetFormatPr baseColWidth="10" defaultColWidth="8.88671875" defaultRowHeight="14.4"/>
  <sheetData>
    <row r="1" spans="1:1">
      <c r="A1" t="s">
        <v>61</v>
      </c>
    </row>
    <row r="2" spans="1:1">
      <c r="A2" t="s">
        <v>63</v>
      </c>
    </row>
    <row r="3" spans="1:1">
      <c r="A3" t="s">
        <v>62</v>
      </c>
    </row>
    <row r="4" spans="1:1">
      <c r="A4" t="s">
        <v>64</v>
      </c>
    </row>
    <row r="5" spans="1:1">
      <c r="A5" t="s">
        <v>65</v>
      </c>
    </row>
    <row r="6" spans="1:1">
      <c r="A6" t="s">
        <v>68</v>
      </c>
    </row>
    <row r="7" spans="1:1">
      <c r="A7"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Diagramme</vt:lpstr>
      </vt:variant>
      <vt:variant>
        <vt:i4>2</vt:i4>
      </vt:variant>
    </vt:vector>
  </HeadingPairs>
  <TitlesOfParts>
    <vt:vector size="8" baseType="lpstr">
      <vt:lpstr>1 ThermistorTableConversion</vt:lpstr>
      <vt:lpstr>1 Instructions &amp; example</vt:lpstr>
      <vt:lpstr>2 Thermistor from Beta</vt:lpstr>
      <vt:lpstr>2 Instructions &amp; Example</vt:lpstr>
      <vt:lpstr>3 Thermistor from SteinhartHart</vt:lpstr>
      <vt:lpstr>3 Instructions and examples</vt:lpstr>
      <vt:lpstr>Comparison Chart</vt:lpstr>
      <vt:lpstr>Comparison Chart (2)</vt:lpstr>
    </vt:vector>
  </TitlesOfParts>
  <Company>Ausenco</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 Saggers</dc:creator>
  <cp:lastModifiedBy>RobertKuhlmann</cp:lastModifiedBy>
  <dcterms:created xsi:type="dcterms:W3CDTF">2013-06-13T00:56:14Z</dcterms:created>
  <dcterms:modified xsi:type="dcterms:W3CDTF">2014-08-10T20:26:00Z</dcterms:modified>
</cp:coreProperties>
</file>